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26FC973-CB67-45C7-B816-169E61CC7CA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heet5" sheetId="6" r:id="rId1"/>
    <sheet name="Sheet6" sheetId="7" r:id="rId2"/>
    <sheet name="Sheet2" sheetId="3" r:id="rId3"/>
    <sheet name="Patient Data" sheetId="1" r:id="rId4"/>
    <sheet name="Sheet1" sheetId="2" r:id="rId5"/>
  </sheets>
  <definedNames>
    <definedName name="_xlnm._FilterDatabase" localSheetId="3" hidden="1">'Patient Data'!$AB$1:$AB$1001</definedName>
    <definedName name="data">'Patient Data'!$1:$1048576</definedName>
    <definedName name="disease">'Patient Data'!$D$2</definedName>
    <definedName name="gender">'Patient Data'!$C$2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31" i="1"/>
  <c r="AB32" i="1"/>
  <c r="AB33" i="1"/>
  <c r="AB34" i="1"/>
  <c r="AB35" i="1"/>
  <c r="AB36" i="1"/>
  <c r="AB37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2" i="1"/>
  <c r="X2" i="1" a="1"/>
  <c r="AA2" i="1"/>
  <c r="Z2" i="1"/>
  <c r="W3" i="1"/>
  <c r="W2" i="1"/>
  <c r="W1" i="1"/>
  <c r="T4" i="1"/>
  <c r="T3" i="1"/>
  <c r="T2" i="1"/>
  <c r="T1" i="1"/>
  <c r="Q5" i="1"/>
  <c r="Q3" i="1"/>
  <c r="Q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<sst xmlns="http://schemas.openxmlformats.org/spreadsheetml/2006/main" count="9059" uniqueCount="1080">
  <si>
    <t>Patient_ID</t>
  </si>
  <si>
    <t>Age</t>
  </si>
  <si>
    <t>Gender</t>
  </si>
  <si>
    <t>Disease_Type</t>
  </si>
  <si>
    <t>Department</t>
  </si>
  <si>
    <t>Doctor_Name</t>
  </si>
  <si>
    <t>Admission_Date</t>
  </si>
  <si>
    <t>Discharge_Date</t>
  </si>
  <si>
    <t>Treatment_Cost</t>
  </si>
  <si>
    <t>Insurance_Type</t>
  </si>
  <si>
    <t>Payment_Mode</t>
  </si>
  <si>
    <t>City</t>
  </si>
  <si>
    <t>Recovery_Status</t>
  </si>
  <si>
    <t>Satisfaction_Rating</t>
  </si>
  <si>
    <t>P0001</t>
  </si>
  <si>
    <t>Male</t>
  </si>
  <si>
    <t>Cardiac</t>
  </si>
  <si>
    <t>Oncology</t>
  </si>
  <si>
    <t>Dr. Kumar</t>
  </si>
  <si>
    <t>Corporate</t>
  </si>
  <si>
    <t>Card</t>
  </si>
  <si>
    <t>Chennai</t>
  </si>
  <si>
    <t>Recovered</t>
  </si>
  <si>
    <t>P0002</t>
  </si>
  <si>
    <t>Female</t>
  </si>
  <si>
    <t>Neurological</t>
  </si>
  <si>
    <t>Cardiology</t>
  </si>
  <si>
    <t>Dr. Arun</t>
  </si>
  <si>
    <t>None</t>
  </si>
  <si>
    <t>Insurance Claim</t>
  </si>
  <si>
    <t>P0003</t>
  </si>
  <si>
    <t>Diabetes</t>
  </si>
  <si>
    <t>Pulmonology</t>
  </si>
  <si>
    <t>Madurai</t>
  </si>
  <si>
    <t>P0004</t>
  </si>
  <si>
    <t>General Medicine</t>
  </si>
  <si>
    <t>Dr. Raj</t>
  </si>
  <si>
    <t>Government</t>
  </si>
  <si>
    <t>Follow-up</t>
  </si>
  <si>
    <t>P0005</t>
  </si>
  <si>
    <t>Orthopedics</t>
  </si>
  <si>
    <t>Dr. Meena</t>
  </si>
  <si>
    <t>UPI</t>
  </si>
  <si>
    <t>Hyderabad</t>
  </si>
  <si>
    <t>P0006</t>
  </si>
  <si>
    <t>Respiratory</t>
  </si>
  <si>
    <t>Bangalore</t>
  </si>
  <si>
    <t>P0007</t>
  </si>
  <si>
    <t>Coimbatore</t>
  </si>
  <si>
    <t>P0008</t>
  </si>
  <si>
    <t>Orthopedic</t>
  </si>
  <si>
    <t>Neurology</t>
  </si>
  <si>
    <t>P0009</t>
  </si>
  <si>
    <t>Infection</t>
  </si>
  <si>
    <t>P0010</t>
  </si>
  <si>
    <t>P0011</t>
  </si>
  <si>
    <t>Dr. Priya</t>
  </si>
  <si>
    <t>P0012</t>
  </si>
  <si>
    <t>Cancer</t>
  </si>
  <si>
    <t>P0013</t>
  </si>
  <si>
    <t>P0014</t>
  </si>
  <si>
    <t>Private</t>
  </si>
  <si>
    <t>P0015</t>
  </si>
  <si>
    <t>Cash</t>
  </si>
  <si>
    <t>Under Treatment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</si>
  <si>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</si>
  <si>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</si>
  <si>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</si>
  <si>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</si>
  <si>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</si>
  <si>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</si>
  <si>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</si>
  <si>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</si>
  <si>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</si>
  <si>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</si>
  <si>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</si>
  <si>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</si>
  <si>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</si>
  <si>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</si>
  <si>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</si>
  <si>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</si>
  <si>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</si>
  <si>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</si>
  <si>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</si>
  <si>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</si>
  <si>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</si>
  <si>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</si>
  <si>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</si>
  <si>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</si>
  <si>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</si>
  <si>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</si>
  <si>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</si>
  <si>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</si>
  <si>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</si>
  <si>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</si>
  <si>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</si>
  <si>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</si>
  <si>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</si>
  <si>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</si>
  <si>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</si>
  <si>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</si>
  <si>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</si>
  <si>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</si>
  <si>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</si>
  <si>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</si>
  <si>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</si>
  <si>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</si>
  <si>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</si>
  <si>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</si>
  <si>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</si>
  <si>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</si>
  <si>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</si>
  <si>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</si>
  <si>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</si>
  <si>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</si>
  <si>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</si>
  <si>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</si>
  <si>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</si>
  <si>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</si>
  <si>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</si>
  <si>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</si>
  <si>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</si>
  <si>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</si>
  <si>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</si>
  <si>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</si>
  <si>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</si>
  <si>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</si>
  <si>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</si>
  <si>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</si>
  <si>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</si>
  <si>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</si>
  <si>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</si>
  <si>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</si>
  <si>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</si>
  <si>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</si>
  <si>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</si>
  <si>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</si>
  <si>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</si>
  <si>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</si>
  <si>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</si>
  <si>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</si>
  <si>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</si>
  <si>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</si>
  <si>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</si>
  <si>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</si>
  <si>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</si>
  <si>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</si>
  <si>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</si>
  <si>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</si>
  <si>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</si>
  <si>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</si>
  <si>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</si>
  <si>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</si>
  <si>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</si>
  <si>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</si>
  <si>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</si>
  <si>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</si>
  <si>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</si>
  <si>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</si>
  <si>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</si>
  <si>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</si>
  <si>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</si>
  <si>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</si>
  <si>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</si>
  <si>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</si>
  <si>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</si>
  <si>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</si>
  <si>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</si>
  <si>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</si>
  <si>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</si>
  <si>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</si>
  <si>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</si>
  <si>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</si>
  <si>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</si>
  <si>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</si>
  <si>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</si>
  <si>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</si>
  <si>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</si>
  <si>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</si>
  <si>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</si>
  <si>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</si>
  <si>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</si>
  <si>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</si>
  <si>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</si>
  <si>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</si>
  <si>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</si>
  <si>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</si>
  <si>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</si>
  <si>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</si>
  <si>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</si>
  <si>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</si>
  <si>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</si>
  <si>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</si>
  <si>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</si>
  <si>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</si>
  <si>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</si>
  <si>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</si>
  <si>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</si>
  <si>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</si>
  <si>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</si>
  <si>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</si>
  <si>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</si>
  <si>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</si>
  <si>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</si>
  <si>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</si>
  <si>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</si>
  <si>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</si>
  <si>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</si>
  <si>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</si>
  <si>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</si>
  <si>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</si>
  <si>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</si>
  <si>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</si>
  <si>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</si>
  <si>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</si>
  <si>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</si>
  <si>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</si>
  <si>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</si>
  <si>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</si>
  <si>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</si>
  <si>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</si>
  <si>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</si>
  <si>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</si>
  <si>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</si>
  <si>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</si>
  <si>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</si>
  <si>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</si>
  <si>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</si>
  <si>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</si>
  <si>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</si>
  <si>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</si>
  <si>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</si>
  <si>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</si>
  <si>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</si>
  <si>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</si>
  <si>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</si>
  <si>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</si>
  <si>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</si>
  <si>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</si>
  <si>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</si>
  <si>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</si>
  <si>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</si>
  <si>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</si>
  <si>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</si>
  <si>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</si>
  <si>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</si>
  <si>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</si>
  <si>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</si>
  <si>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</si>
  <si>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</si>
  <si>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</si>
  <si>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</si>
  <si>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</si>
  <si>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</si>
  <si>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</si>
  <si>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</si>
  <si>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</si>
  <si>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</si>
  <si>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</si>
  <si>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</si>
  <si>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</si>
  <si>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</si>
  <si>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</si>
  <si>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</si>
  <si>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</si>
  <si>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</si>
  <si>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</si>
  <si>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</si>
  <si>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</si>
  <si>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</si>
  <si>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</si>
  <si>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</si>
  <si>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</si>
  <si>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</si>
  <si>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</si>
  <si>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</si>
  <si>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</si>
  <si>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</si>
  <si>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</si>
  <si>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</si>
  <si>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</si>
  <si>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</si>
  <si>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</si>
  <si>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</si>
  <si>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</si>
  <si>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</si>
  <si>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</si>
  <si>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</si>
  <si>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</si>
  <si>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</si>
  <si>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</si>
  <si>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</si>
  <si>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</si>
  <si>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</si>
  <si>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</si>
  <si>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</si>
  <si>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</si>
  <si>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</si>
  <si>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</si>
  <si>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</si>
  <si>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</si>
  <si>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</si>
  <si>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</si>
  <si>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</si>
  <si>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</si>
  <si>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</si>
  <si>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</si>
  <si>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</si>
  <si>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</si>
  <si>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</si>
  <si>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</si>
  <si>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</si>
  <si>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</si>
  <si>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</si>
  <si>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</si>
  <si>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</si>
  <si>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</si>
  <si>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</si>
  <si>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</si>
  <si>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</si>
  <si>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</si>
  <si>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</si>
  <si>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</si>
  <si>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</si>
  <si>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</si>
  <si>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</si>
  <si>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</si>
  <si>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</si>
  <si>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</si>
  <si>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</si>
  <si>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</si>
  <si>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</si>
  <si>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</si>
  <si>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</si>
  <si>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</si>
  <si>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</si>
  <si>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</si>
  <si>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</si>
  <si>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</si>
  <si>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</si>
  <si>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</si>
  <si>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</si>
  <si>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</si>
  <si>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</si>
  <si>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</si>
  <si>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</si>
  <si>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</si>
  <si>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</si>
  <si>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</si>
  <si>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</si>
  <si>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</si>
  <si>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</si>
  <si>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</si>
  <si>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</si>
  <si>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</si>
  <si>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</si>
  <si>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</si>
  <si>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</si>
  <si>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</si>
  <si>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</si>
  <si>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</si>
  <si>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</si>
  <si>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</si>
  <si>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</si>
  <si>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</si>
  <si>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</si>
  <si>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</si>
  <si>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</si>
  <si>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</si>
  <si>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</si>
  <si>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</si>
  <si>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</si>
  <si>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</si>
  <si>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</si>
  <si>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</si>
  <si>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</si>
  <si>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</si>
  <si>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</si>
  <si>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</si>
  <si>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</si>
  <si>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</si>
  <si>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</si>
  <si>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</si>
  <si>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</si>
  <si>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</si>
  <si>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</si>
  <si>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</si>
  <si>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</si>
  <si>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</si>
  <si>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</si>
  <si>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</si>
  <si>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</si>
  <si>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</si>
  <si>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</si>
  <si>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</si>
  <si>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</si>
  <si>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</si>
  <si>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</si>
  <si>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</si>
  <si>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</si>
  <si>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</si>
  <si>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</si>
  <si>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</si>
  <si>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</si>
  <si>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</si>
  <si>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</si>
  <si>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</si>
  <si>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</si>
  <si>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</si>
  <si>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</si>
  <si>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</si>
  <si>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</si>
  <si>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</si>
  <si>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</si>
  <si>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</si>
  <si>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</si>
  <si>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</si>
  <si>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</si>
  <si>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</si>
  <si>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</si>
  <si>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</si>
  <si>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</si>
  <si>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</si>
  <si>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</si>
  <si>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</si>
  <si>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</si>
  <si>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</si>
  <si>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</si>
  <si>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</si>
  <si>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</si>
  <si>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</si>
  <si>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</si>
  <si>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</si>
  <si>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</si>
  <si>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</si>
  <si>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</si>
  <si>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</si>
  <si>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</si>
  <si>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</si>
  <si>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</si>
  <si>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</si>
  <si>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</si>
  <si>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</si>
  <si>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</si>
  <si>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</si>
  <si>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</si>
  <si>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</si>
  <si>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</si>
  <si>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</si>
  <si>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</si>
  <si>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</si>
  <si>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</si>
  <si>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</si>
  <si>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</si>
  <si>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</si>
  <si>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</si>
  <si>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</si>
  <si>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</si>
  <si>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</si>
  <si>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</si>
  <si>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</si>
  <si>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</si>
  <si>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</si>
  <si>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</si>
  <si>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</si>
  <si>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</si>
  <si>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</si>
  <si>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</si>
  <si>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</si>
  <si>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</si>
  <si>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</si>
  <si>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</si>
  <si>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</si>
  <si>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</si>
  <si>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</si>
  <si>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</si>
  <si>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</si>
  <si>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</si>
  <si>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</si>
  <si>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</si>
  <si>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</si>
  <si>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</si>
  <si>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</si>
  <si>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</si>
  <si>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</si>
  <si>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</si>
  <si>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</si>
  <si>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</si>
  <si>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</si>
  <si>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</si>
  <si>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</si>
  <si>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</si>
  <si>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</si>
  <si>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</si>
  <si>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</si>
  <si>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</si>
  <si>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</si>
  <si>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</si>
  <si>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</si>
  <si>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</si>
  <si>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</si>
  <si>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</si>
  <si>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</si>
  <si>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</si>
  <si>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</si>
  <si>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</si>
  <si>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</si>
  <si>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</si>
  <si>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</si>
  <si>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</si>
  <si>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</si>
  <si>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</si>
  <si>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</si>
  <si>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</si>
  <si>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</si>
  <si>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</si>
  <si>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</si>
  <si>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</si>
  <si>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</si>
  <si>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</si>
  <si>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</si>
  <si>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</si>
  <si>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</si>
  <si>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</si>
  <si>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</si>
  <si>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</si>
  <si>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</si>
  <si>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</si>
  <si>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</si>
  <si>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</si>
  <si>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</si>
  <si>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</si>
  <si>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</si>
  <si>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</si>
  <si>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</si>
  <si>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</si>
  <si>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</si>
  <si>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</si>
  <si>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</si>
  <si>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</si>
  <si>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</si>
  <si>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</si>
  <si>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</si>
  <si>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</si>
  <si>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</si>
  <si>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</si>
  <si>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</si>
  <si>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</si>
  <si>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</si>
  <si>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</si>
  <si>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</si>
  <si>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</si>
  <si>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</si>
  <si>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</si>
  <si>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</si>
  <si>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</si>
  <si>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</si>
  <si>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</si>
  <si>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</si>
  <si>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</si>
  <si>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</si>
  <si>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</si>
  <si>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</si>
  <si>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</si>
  <si>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</si>
  <si>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</si>
  <si>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</si>
  <si>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</si>
  <si>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</si>
  <si>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</si>
  <si>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</si>
  <si>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</si>
  <si>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</si>
  <si>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</si>
  <si>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</si>
  <si>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</si>
  <si>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</si>
  <si>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</si>
  <si>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</si>
  <si>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</si>
  <si>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</si>
  <si>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</si>
  <si>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</si>
  <si>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</si>
  <si>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</si>
  <si>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</si>
  <si>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</si>
  <si>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</si>
  <si>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</si>
  <si>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</si>
  <si>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</si>
  <si>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</si>
  <si>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</si>
  <si>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</si>
  <si>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</si>
  <si>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</si>
  <si>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</si>
  <si>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</si>
  <si>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</si>
  <si>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</si>
  <si>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</si>
  <si>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</si>
  <si>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</si>
  <si>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</si>
  <si>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</si>
  <si>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</si>
  <si>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</si>
  <si>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</si>
  <si>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</si>
  <si>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</si>
  <si>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</si>
  <si>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</si>
  <si>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</si>
  <si>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</si>
  <si>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</si>
  <si>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</si>
  <si>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</si>
  <si>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</si>
  <si>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</si>
  <si>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</si>
  <si>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</si>
  <si>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</si>
  <si>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</si>
  <si>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</si>
  <si>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</si>
  <si>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</si>
  <si>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</si>
  <si>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</si>
  <si>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</si>
  <si>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</si>
  <si>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</si>
  <si>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</si>
  <si>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</si>
  <si>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</si>
  <si>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</si>
  <si>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</si>
  <si>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</si>
  <si>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</si>
  <si>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</si>
  <si>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</si>
  <si>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</si>
  <si>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</si>
  <si>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</si>
  <si>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</si>
  <si>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</si>
  <si>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</si>
  <si>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</si>
  <si>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</si>
  <si>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</si>
  <si>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</si>
  <si>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</si>
  <si>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</si>
  <si>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</si>
  <si>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</si>
  <si>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</si>
  <si>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</si>
  <si>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</si>
  <si>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</si>
  <si>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</si>
  <si>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</si>
  <si>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</si>
  <si>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</si>
  <si>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</si>
  <si>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</si>
  <si>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</si>
  <si>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</si>
  <si>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</si>
  <si>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</si>
  <si>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</si>
  <si>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</si>
  <si>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</si>
  <si>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</si>
  <si>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</si>
  <si>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</si>
  <si>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</si>
  <si>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</si>
  <si>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</si>
  <si>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</si>
  <si>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</si>
  <si>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</si>
  <si>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</si>
  <si>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</si>
  <si>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</si>
  <si>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</si>
  <si>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</si>
  <si>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</si>
  <si>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</si>
  <si>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</si>
  <si>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</si>
  <si>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</si>
  <si>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</si>
  <si>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</si>
  <si>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</si>
  <si>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</si>
  <si>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</si>
  <si>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</si>
  <si>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</si>
  <si>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</si>
  <si>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</si>
  <si>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</si>
  <si>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</si>
  <si>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</si>
  <si>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</si>
  <si>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</si>
  <si>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</si>
  <si>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</si>
  <si>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</si>
  <si>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</si>
  <si>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</si>
  <si>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</si>
  <si>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</si>
  <si>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</si>
  <si>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</si>
  <si>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</si>
  <si>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</si>
  <si>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</si>
  <si>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</si>
  <si>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</si>
  <si>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</si>
  <si>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</si>
  <si>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</si>
  <si>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</si>
  <si>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</si>
  <si>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</si>
  <si>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</si>
  <si>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</si>
  <si>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</si>
  <si>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</si>
  <si>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</si>
  <si>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</si>
  <si>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</si>
  <si>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</si>
  <si>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</si>
  <si>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</si>
  <si>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</si>
  <si>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</si>
  <si>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</si>
  <si>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</si>
  <si>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</si>
  <si>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</si>
  <si>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</si>
  <si>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</si>
  <si>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</si>
  <si>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</si>
  <si>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</si>
  <si>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</si>
  <si>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</si>
  <si>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</si>
  <si>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</si>
  <si>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</si>
  <si>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</si>
  <si>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</si>
  <si>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</si>
  <si>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</si>
  <si>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</si>
  <si>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</si>
  <si>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</si>
  <si>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</si>
  <si>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</si>
  <si>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</si>
  <si>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</si>
  <si>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</si>
  <si>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</si>
  <si>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</si>
  <si>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</si>
  <si>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</si>
  <si>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</si>
  <si>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</si>
  <si>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</si>
  <si>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</si>
  <si>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</si>
  <si>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</si>
  <si>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</si>
  <si>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</si>
  <si>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</si>
  <si>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</si>
  <si>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</si>
  <si>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</si>
  <si>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</si>
  <si>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</si>
  <si>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</si>
  <si>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</si>
  <si>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</si>
  <si>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</si>
  <si>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</si>
  <si>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</si>
  <si>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</si>
  <si>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</si>
  <si>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</si>
  <si>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</si>
  <si>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</si>
  <si>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</si>
  <si>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</si>
  <si>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</si>
  <si>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</si>
  <si>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</si>
  <si>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</si>
  <si>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</si>
  <si>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</si>
  <si>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</si>
  <si>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</si>
  <si>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</si>
  <si>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</si>
  <si>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</si>
  <si>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</si>
  <si>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</si>
  <si>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</si>
  <si>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</si>
  <si>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</si>
  <si>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</si>
  <si>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</si>
  <si>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</si>
  <si>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</si>
  <si>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</si>
  <si>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</si>
  <si>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</si>
  <si>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</si>
  <si>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</si>
  <si>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</si>
  <si>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</si>
  <si>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</si>
  <si>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</si>
  <si>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</si>
  <si>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</si>
  <si>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</si>
  <si>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</si>
  <si>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</si>
  <si>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</si>
  <si>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</si>
  <si>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</si>
  <si>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</si>
  <si>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</si>
  <si>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</si>
  <si>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</si>
  <si>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</si>
  <si>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</si>
  <si>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</si>
  <si>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</si>
  <si>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</si>
  <si>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</si>
  <si>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</si>
  <si>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</si>
  <si>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</si>
  <si>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</si>
  <si>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</si>
  <si>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</si>
  <si>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</si>
  <si>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</si>
  <si>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</si>
  <si>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</si>
  <si>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</si>
  <si>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</si>
  <si>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</si>
  <si>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</si>
  <si>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</si>
  <si>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</si>
  <si>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</si>
  <si>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</si>
  <si>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</si>
  <si>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</si>
  <si>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</si>
  <si>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</si>
  <si>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</si>
  <si>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</si>
  <si>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</si>
  <si>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</si>
  <si>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</si>
  <si>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</si>
  <si>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</si>
  <si>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</si>
  <si>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</si>
  <si>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</si>
  <si>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</si>
  <si>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</si>
  <si>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</si>
  <si>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</si>
  <si>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</si>
  <si>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</si>
  <si>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</si>
  <si>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</si>
  <si>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</si>
  <si>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</si>
  <si>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</si>
  <si>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</si>
  <si>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</si>
  <si>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</si>
  <si>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</si>
  <si>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</si>
  <si>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</si>
  <si>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</si>
  <si>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</si>
  <si>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</si>
  <si>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</si>
  <si>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</si>
  <si>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</si>
  <si>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</si>
  <si>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</si>
  <si>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</si>
  <si>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</si>
  <si>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</si>
  <si>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</si>
  <si>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</si>
  <si>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</si>
  <si>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</si>
  <si>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</si>
  <si>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</si>
  <si>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</si>
  <si>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</si>
  <si>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</si>
  <si>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</si>
  <si>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</si>
  <si>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</si>
  <si>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</si>
  <si>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</si>
  <si>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</si>
  <si>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</si>
  <si>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</si>
  <si>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</si>
  <si>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</si>
  <si>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</si>
  <si>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</si>
  <si>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</si>
  <si>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</si>
  <si>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</si>
  <si>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</si>
  <si>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</si>
  <si>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</si>
  <si>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</si>
  <si>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</si>
  <si>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</si>
  <si>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</si>
  <si>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</si>
  <si>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</si>
  <si>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</si>
  <si>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</si>
  <si>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</si>
  <si>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</si>
  <si>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</si>
  <si>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</si>
  <si>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</si>
  <si>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</si>
  <si>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</si>
  <si>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</si>
  <si>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</si>
  <si>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</si>
  <si>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</si>
  <si>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</si>
  <si>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</si>
  <si>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</si>
  <si>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</si>
  <si>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</si>
  <si>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</si>
  <si>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</si>
  <si>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</si>
  <si>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</si>
  <si>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</si>
  <si>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</si>
  <si>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</si>
  <si>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</si>
  <si>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</si>
  <si>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</si>
  <si>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</si>
  <si>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</si>
  <si>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</si>
  <si>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</si>
  <si>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</si>
  <si>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</si>
  <si>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</si>
  <si>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</si>
  <si>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</si>
  <si>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</si>
  <si>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</si>
  <si>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</si>
  <si>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</si>
  <si>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</si>
  <si>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</si>
  <si>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</si>
  <si>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</si>
  <si>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</si>
  <si>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</si>
  <si>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</si>
  <si>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</si>
  <si>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</si>
  <si>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</si>
  <si>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</si>
  <si>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</si>
  <si>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</si>
  <si>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</si>
  <si>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</si>
  <si>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</si>
  <si>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</si>
  <si>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</si>
  <si>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</si>
  <si>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</si>
  <si>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</si>
  <si>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</si>
  <si>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</si>
  <si>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</si>
  <si>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</si>
  <si>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</si>
  <si>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</si>
  <si>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</si>
  <si>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</si>
  <si>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</si>
  <si>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</si>
  <si>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</si>
  <si>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</si>
  <si>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</si>
  <si>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</si>
  <si>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</si>
  <si>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</si>
  <si>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</si>
  <si>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</si>
  <si>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</si>
  <si>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</si>
  <si>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</si>
  <si>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</si>
  <si>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</si>
  <si>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</si>
  <si>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</si>
  <si>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</si>
  <si>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</si>
  <si>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</si>
  <si>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</si>
  <si>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</si>
  <si>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</si>
  <si>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</si>
  <si>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</si>
  <si>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</si>
  <si>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</si>
  <si>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</si>
  <si>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</si>
  <si>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</si>
  <si>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</si>
  <si>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</si>
  <si>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</si>
  <si>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</si>
  <si>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</si>
  <si>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</si>
  <si>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</si>
  <si>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</si>
  <si>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</si>
  <si>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</si>
  <si>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</si>
  <si>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</si>
  <si>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</si>
  <si>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</si>
  <si>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</si>
  <si>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</si>
  <si>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</si>
  <si>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 xml:space="preserve">Average_Age </t>
  </si>
  <si>
    <t>max_age</t>
  </si>
  <si>
    <t>min_Age</t>
  </si>
  <si>
    <t>cardiac</t>
  </si>
  <si>
    <t>diabetes</t>
  </si>
  <si>
    <t>cancer</t>
  </si>
  <si>
    <t>others</t>
  </si>
  <si>
    <t>Total_Patients</t>
  </si>
  <si>
    <t>Patients_with_insurance</t>
  </si>
  <si>
    <t>Patients_without_insurance</t>
  </si>
  <si>
    <t>Total_revenuve</t>
  </si>
  <si>
    <t>Median_reven</t>
  </si>
  <si>
    <t>Sum of Treatment_Cost</t>
  </si>
  <si>
    <t>Count of Patient_ID</t>
  </si>
  <si>
    <t>Admission_month</t>
  </si>
  <si>
    <t>Row Labels</t>
  </si>
  <si>
    <t>Grand Total</t>
  </si>
  <si>
    <t>Apr</t>
  </si>
  <si>
    <t>Feb</t>
  </si>
  <si>
    <t>Jan</t>
  </si>
  <si>
    <t>Mar</t>
  </si>
  <si>
    <t>HOSPITAL DATA ANALYSIS DASHBOARD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</si>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</sst>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 &quot;₹&quot;\ * #,##0_ ;_ &quot;₹&quot;\ * \-#,##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[Patient_Analytics_Raw_Data-1.xlsx]Sheet2!PivotTable7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Sum of Treatment_Cost by Payment_Mode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60066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#,##0,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6006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dLbls>
            <c:numFmt formatCode="&quot;₹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Insurance Claim</c:v>
                </c:pt>
                <c:pt idx="3">
                  <c:v>UPI</c:v>
                </c:pt>
              </c:strCache>
            </c:strRef>
          </c:cat>
          <c:val>
            <c:numRef>
              <c:f>Sheet2!$B$4:$B$7</c:f>
              <c:numCache>
                <c:formatCode>_ "₹"\ * #,##0_ ;_ "₹"\ * \-#,##0_ ;_ "₹"\ * "-"??_ ;_ @_ </c:formatCode>
                <c:ptCount val="4"/>
                <c:pt idx="0">
                  <c:v>33006565</c:v>
                </c:pt>
                <c:pt idx="1">
                  <c:v>31338275</c:v>
                </c:pt>
                <c:pt idx="2">
                  <c:v>30171231</c:v>
                </c:pt>
                <c:pt idx="3">
                  <c:v>30866990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D-49DF-A789-FB31936A87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06192"/>
        <c:axId val="86118672"/>
      </c:barChart>
      <c:catAx>
        <c:axId val="8610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18672"/>
        <c:crosses val="autoZero"/>
        <c:auto val="1"/>
        <c:lblAlgn val="ctr"/>
        <c:lblOffset val="100"/>
        <c:noMultiLvlLbl val="0"/>
      </c:catAx>
      <c:valAx>
        <c:axId val="8611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,&quot;K&quot;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0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Patient with Different Cases</a:t>
            </a:r>
          </a:p>
          <a:p>
            <a:pPr>
              <a:defRPr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IN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7B-4300-9BB5-85741055C53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7B-4300-9BB5-85741055C53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7B-4300-9BB5-85741055C53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7B-4300-9BB5-85741055C5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'Patient Data'!$S$1:$S$4</c:f>
              <c:strCache>
                <c:ptCount val="4"/>
                <c:pt idx="0">
                  <c:v>cardiac</c:v>
                </c:pt>
                <c:pt idx="1">
                  <c:v>diabetes</c:v>
                </c:pt>
                <c:pt idx="2">
                  <c:v>cancer</c:v>
                </c:pt>
                <c:pt idx="3">
                  <c:v>others</c:v>
                </c:pt>
              </c:strCache>
              <c:extLst xmlns:c15="http://schemas.microsoft.com/office/drawing/2012/chart"/>
            </c:strRef>
          </c:cat>
          <c:val>
            <c:numRef>
              <c:f>'Patient Data'!$T$1:$T$4</c:f>
              <c:numCache>
                <c:formatCode>General</c:formatCode>
                <c:ptCount val="4"/>
                <c:pt idx="0">
                  <c:v>128</c:v>
                </c:pt>
                <c:pt idx="1">
                  <c:v>130</c:v>
                </c:pt>
                <c:pt idx="2">
                  <c:v>143</c:v>
                </c:pt>
                <c:pt idx="3">
                  <c:v>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7B-4300-9BB5-85741055C53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chemeClr val="tx1"/>
                </a:solidFill>
              </a:rPr>
              <a:t>Patients</a:t>
            </a:r>
            <a:r>
              <a:rPr lang="en-IN" sz="1400" b="1" baseline="0">
                <a:solidFill>
                  <a:schemeClr val="tx1"/>
                </a:solidFill>
              </a:rPr>
              <a:t> Insurance </a:t>
            </a:r>
            <a:r>
              <a:rPr lang="en-IN" sz="14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Details</a:t>
            </a:r>
            <a:endPara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'Patient Data'!$V$1:$V$3</c:f>
              <c:strCache>
                <c:ptCount val="3"/>
                <c:pt idx="0">
                  <c:v>Patients_with_insurance</c:v>
                </c:pt>
                <c:pt idx="1">
                  <c:v>Patients_without_insurance</c:v>
                </c:pt>
                <c:pt idx="2">
                  <c:v>Total_Patients</c:v>
                </c:pt>
              </c:strCache>
            </c:strRef>
          </c:cat>
          <c:val>
            <c:numRef>
              <c:f>'Patient Data'!$W$1:$W$3</c:f>
              <c:numCache>
                <c:formatCode>General</c:formatCode>
                <c:ptCount val="3"/>
                <c:pt idx="0">
                  <c:v>739</c:v>
                </c:pt>
                <c:pt idx="1">
                  <c:v>261</c:v>
                </c:pt>
                <c:pt idx="2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9-40AB-B484-94DFEE927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455647"/>
        <c:axId val="144439327"/>
      </c:barChart>
      <c:catAx>
        <c:axId val="14445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39327"/>
        <c:crosses val="autoZero"/>
        <c:auto val="1"/>
        <c:lblAlgn val="ctr"/>
        <c:lblOffset val="100"/>
        <c:noMultiLvlLbl val="0"/>
      </c:catAx>
      <c:valAx>
        <c:axId val="144439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5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[Patient_Analytics_Raw_Data-1.xlsx]Sheet6!PivotTable52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patient</a:t>
            </a:r>
            <a:r>
              <a:rPr lang="en-IN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admission across month</a:t>
            </a:r>
            <a:endParaRPr lang="en-IN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Sheet6!$B$4:$B$16</c:f>
              <c:numCache>
                <c:formatCode>General</c:formatCode>
                <c:ptCount val="12"/>
                <c:pt idx="0">
                  <c:v>14</c:v>
                </c:pt>
                <c:pt idx="1">
                  <c:v>13</c:v>
                </c:pt>
                <c:pt idx="2">
                  <c:v>9</c:v>
                </c:pt>
                <c:pt idx="3">
                  <c:v>17</c:v>
                </c:pt>
                <c:pt idx="4">
                  <c:v>13</c:v>
                </c:pt>
                <c:pt idx="5">
                  <c:v>16</c:v>
                </c:pt>
                <c:pt idx="6">
                  <c:v>14</c:v>
                </c:pt>
                <c:pt idx="7">
                  <c:v>11</c:v>
                </c:pt>
                <c:pt idx="8">
                  <c:v>15</c:v>
                </c:pt>
                <c:pt idx="9">
                  <c:v>16</c:v>
                </c:pt>
                <c:pt idx="10">
                  <c:v>11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9-4F6D-8708-679173259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58527"/>
        <c:axId val="144462847"/>
      </c:lineChart>
      <c:catAx>
        <c:axId val="14445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2847"/>
        <c:crosses val="autoZero"/>
        <c:auto val="1"/>
        <c:lblAlgn val="ctr"/>
        <c:lblOffset val="100"/>
        <c:noMultiLvlLbl val="0"/>
      </c:catAx>
      <c:valAx>
        <c:axId val="144462847"/>
        <c:scaling>
          <c:orientation val="minMax"/>
        </c:scaling>
        <c:delete val="0"/>
        <c:axPos val="l"/>
        <c:majorGridlines>
          <c:spPr>
            <a:ln w="9525" cap="flat" cmpd="dbl" algn="ctr">
              <a:solidFill>
                <a:schemeClr val="tx1">
                  <a:lumMod val="65000"/>
                  <a:lumOff val="35000"/>
                  <a:alpha val="36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5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388995</xdr:colOff>
      <xdr:row>4</xdr:row>
      <xdr:rowOff>115287</xdr:rowOff>
    </xdr:from>
    <xdr:to>
      <xdr:col>7</xdr:col>
      <xdr:colOff>323270</xdr:colOff>
      <xdr:row>20</xdr:row>
      <xdr:rowOff>36707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C9FDB-BC6E-486C-8100-DECCEEC97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40194</xdr:colOff>
      <xdr:row>5</xdr:row>
      <xdr:rowOff>167784</xdr:rowOff>
    </xdr:from>
    <xdr:to>
      <xdr:col>18</xdr:col>
      <xdr:colOff>521607</xdr:colOff>
      <xdr:row>21</xdr:row>
      <xdr:rowOff>85253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3A3ED5-FDC0-43BA-B8A2-F684078D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782674</xdr:colOff>
      <xdr:row>31</xdr:row>
      <xdr:rowOff>29535</xdr:rowOff>
    </xdr:from>
    <xdr:to>
      <xdr:col>9</xdr:col>
      <xdr:colOff>130902</xdr:colOff>
      <xdr:row>49</xdr:row>
      <xdr:rowOff>25449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D494C8-58F7-4DEA-BB34-13814DCF3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489812</xdr:colOff>
      <xdr:row>31</xdr:row>
      <xdr:rowOff>161219</xdr:rowOff>
    </xdr:from>
    <xdr:to>
      <xdr:col>20</xdr:col>
      <xdr:colOff>590348</xdr:colOff>
      <xdr:row>48</xdr:row>
      <xdr:rowOff>125905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A31CFB-409D-42CB-89D0-0F6703EC3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20041</xdr:colOff>
      <xdr:row>24</xdr:row>
      <xdr:rowOff>90363</xdr:rowOff>
    </xdr:from>
    <xdr:to>
      <xdr:col>5</xdr:col>
      <xdr:colOff>524245</xdr:colOff>
      <xdr:row>28</xdr:row>
      <xdr:rowOff>51686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DEDA614-08A0-C27C-7AB1-7828121E14CD}"/>
            </a:ext>
          </a:extLst>
        </xdr:cNvPr>
        <xdr:cNvSpPr txBox="1"/>
      </xdr:nvSpPr>
      <xdr:spPr>
        <a:xfrm>
          <a:off x="1747832" y="4719956"/>
          <a:ext cx="2342750" cy="6996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HOSPITAL REVENUE</a:t>
          </a:r>
          <a:br>
            <a:rPr lang="en-IN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br>
            <a:rPr lang="en-IN" sz="1100"/>
          </a:b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 12,53,83,061 </a:t>
          </a:r>
          <a:endParaRPr lang="en-IN" sz="1100" b="1"/>
        </a:p>
      </xdr:txBody>
    </xdr:sp>
    <xdr:clientData/>
  </xdr:twoCellAnchor>
  <xdr:twoCellAnchor>
    <xdr:from>
      <xdr:col>2</xdr:col>
      <xdr:colOff>432946</xdr:colOff>
      <xdr:row>50</xdr:row>
      <xdr:rowOff>165959</xdr:rowOff>
    </xdr:from>
    <xdr:to>
      <xdr:col>6</xdr:col>
      <xdr:colOff>191626</xdr:colOff>
      <xdr:row>55</xdr:row>
      <xdr:rowOff>102671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3BFECA6-8BC1-9107-9E81-58832CA6013B}"/>
            </a:ext>
          </a:extLst>
        </xdr:cNvPr>
        <xdr:cNvSpPr txBox="1"/>
      </xdr:nvSpPr>
      <xdr:spPr>
        <a:xfrm>
          <a:off x="2156517" y="9433935"/>
          <a:ext cx="2177728" cy="843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No</a:t>
          </a:r>
          <a:r>
            <a:rPr lang="en-IN" sz="11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of</a:t>
          </a:r>
          <a:r>
            <a:rPr lang="en-IN" sz="11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Patients</a:t>
          </a:r>
          <a:r>
            <a:rPr lang="en-IN" sz="11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br>
            <a:rPr lang="en-IN" sz="11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br>
            <a:rPr lang="en-IN" sz="11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N" sz="11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1000</a:t>
          </a:r>
          <a:endParaRPr lang="en-IN" sz="11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236649</xdr:colOff>
      <xdr:row>23</xdr:row>
      <xdr:rowOff>176135</xdr:rowOff>
    </xdr:from>
    <xdr:to>
      <xdr:col>17</xdr:col>
      <xdr:colOff>15914</xdr:colOff>
      <xdr:row>27</xdr:row>
      <xdr:rowOff>99298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4FEAFCA-5C8E-F787-1DE3-C58304BE7471}"/>
            </a:ext>
          </a:extLst>
        </xdr:cNvPr>
        <xdr:cNvSpPr txBox="1"/>
      </xdr:nvSpPr>
      <xdr:spPr>
        <a:xfrm>
          <a:off x="8612601" y="4545540"/>
          <a:ext cx="2198313" cy="6488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IN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Age  Of Patients</a:t>
          </a:r>
          <a:br>
            <a:rPr lang="en-IN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br>
            <a:rPr lang="en-IN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51</a:t>
          </a:r>
          <a:r>
            <a:rPr lang="en-IN" sz="12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2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IN" sz="1100"/>
        </a:p>
      </xdr:txBody>
    </xdr:sp>
    <xdr:clientData/>
  </xdr:twoCellAnchor>
  <xdr:twoCellAnchor>
    <xdr:from>
      <xdr:col>13</xdr:col>
      <xdr:colOff>414427</xdr:colOff>
      <xdr:row>50</xdr:row>
      <xdr:rowOff>98360</xdr:rowOff>
    </xdr:from>
    <xdr:to>
      <xdr:col>18</xdr:col>
      <xdr:colOff>55061</xdr:colOff>
      <xdr:row>55</xdr:row>
      <xdr:rowOff>30238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F51101A-F293-F141-0423-795ABB25827D}"/>
            </a:ext>
          </a:extLst>
        </xdr:cNvPr>
        <xdr:cNvSpPr txBox="1"/>
      </xdr:nvSpPr>
      <xdr:spPr>
        <a:xfrm>
          <a:off x="8790379" y="9366336"/>
          <a:ext cx="2664444" cy="8390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Total Recovered Patient</a:t>
          </a:r>
          <a:b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b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14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328</a:t>
          </a:r>
          <a:r>
            <a:rPr lang="en-IN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IN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9.516232754628" createdVersion="8" refreshedVersion="8" minRefreshableVersion="3" recordCount="1000" xr:uid="{E539E2FC-2D32-44B9-BEC6-91328F0D2BEA}">
  <cacheSource type="worksheet">
    <worksheetSource ref="A1:N1001" sheet="Patient Data"/>
  </cacheSource>
  <cacheFields count="14">
    <cacheField name="Patient_ID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/>
    </cacheField>
    <cacheField name="Disease_Type" numFmtId="0">
      <sharedItems/>
    </cacheField>
    <cacheField name="Department" numFmtId="0">
      <sharedItems/>
    </cacheField>
    <cacheField name="Doctor_Name" numFmtId="0">
      <sharedItems/>
    </cacheField>
    <cacheField name="Admission_Date" numFmtId="164">
      <sharedItems containsSemiMixedTypes="0" containsNonDate="0" containsDate="1" containsString="0" minDate="2024-01-01T00:00:00" maxDate="2026-01-01T00:00:00"/>
    </cacheField>
    <cacheField name="Discharge_Date" numFmtId="164">
      <sharedItems containsSemiMixedTypes="0" containsNonDate="0" containsDate="1" containsString="0" minDate="2024-01-08T00:00:00" maxDate="2026-01-21T00:00:00"/>
    </cacheField>
    <cacheField name="Treatment_Cost" numFmtId="165">
      <sharedItems containsSemiMixedTypes="0" containsString="0" containsNumber="1" containsInteger="1" minValue="5409" maxValue="249910"/>
    </cacheField>
    <cacheField name="Insurance_Type" numFmtId="0">
      <sharedItems/>
    </cacheField>
    <cacheField name="Payment_Mode" numFmtId="0">
      <sharedItems count="4">
        <s v="Card"/>
        <s v="Insurance Claim"/>
        <s v="UPI"/>
        <s v="Cash"/>
      </sharedItems>
    </cacheField>
    <cacheField name="City" numFmtId="0">
      <sharedItems/>
    </cacheField>
    <cacheField name="Recovery_Status" numFmtId="0">
      <sharedItems/>
    </cacheField>
    <cacheField name="Satisfaction_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9.562476273146" createdVersion="8" refreshedVersion="8" minRefreshableVersion="3" recordCount="1000" xr:uid="{9FE51D69-910A-492C-8651-7E91A2DAF8B4}">
  <cacheSource type="worksheet">
    <worksheetSource ref="A1:N1001" sheet="Patient Data"/>
  </cacheSource>
  <cacheFields count="14">
    <cacheField name="Patient_ID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/>
    </cacheField>
    <cacheField name="Disease_Type" numFmtId="0">
      <sharedItems/>
    </cacheField>
    <cacheField name="Department" numFmtId="0">
      <sharedItems/>
    </cacheField>
    <cacheField name="Doctor_Name" numFmtId="0">
      <sharedItems/>
    </cacheField>
    <cacheField name="Admission_Date" numFmtId="164">
      <sharedItems containsSemiMixedTypes="0" containsNonDate="0" containsDate="1" containsString="0" minDate="2024-01-01T00:00:00" maxDate="2026-01-01T00:00:00"/>
    </cacheField>
    <cacheField name="Discharge_Date" numFmtId="164">
      <sharedItems containsSemiMixedTypes="0" containsNonDate="0" containsDate="1" containsString="0" minDate="2024-01-08T00:00:00" maxDate="2026-01-21T00:00:00"/>
    </cacheField>
    <cacheField name="Treatment_Cost" numFmtId="165">
      <sharedItems containsSemiMixedTypes="0" containsString="0" containsNumber="1" containsInteger="1" minValue="5409" maxValue="249910"/>
    </cacheField>
    <cacheField name="Insurance_Type" numFmtId="0">
      <sharedItems/>
    </cacheField>
    <cacheField name="Payment_Mode" numFmtId="0">
      <sharedItems/>
    </cacheField>
    <cacheField name="City" numFmtId="0">
      <sharedItems count="5">
        <s v="Chennai"/>
        <s v="Madurai"/>
        <s v="Hyderabad"/>
        <s v="Bangalore"/>
        <s v="Coimbatore"/>
      </sharedItems>
    </cacheField>
    <cacheField name="Recovery_Status" numFmtId="0">
      <sharedItems/>
    </cacheField>
    <cacheField name="Satisfaction_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9.56559583333" createdVersion="8" refreshedVersion="8" minRefreshableVersion="3" recordCount="993" xr:uid="{1C1936A8-7C34-43E2-80DC-8C88CD2E0DE3}">
  <cacheSource type="worksheet">
    <worksheetSource ref="A1:AB994" sheet="Patient Data"/>
  </cacheSource>
  <cacheFields count="28">
    <cacheField name="Patient_ID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/>
    </cacheField>
    <cacheField name="Disease_Type" numFmtId="0">
      <sharedItems/>
    </cacheField>
    <cacheField name="Department" numFmtId="0">
      <sharedItems/>
    </cacheField>
    <cacheField name="Doctor_Name" numFmtId="0">
      <sharedItems/>
    </cacheField>
    <cacheField name="Admission_Date" numFmtId="164">
      <sharedItems containsSemiMixedTypes="0" containsNonDate="0" containsDate="1" containsString="0" minDate="2024-01-01T00:00:00" maxDate="2026-01-01T00:00:00"/>
    </cacheField>
    <cacheField name="Discharge_Date" numFmtId="164">
      <sharedItems containsSemiMixedTypes="0" containsNonDate="0" containsDate="1" containsString="0" minDate="2024-01-08T00:00:00" maxDate="2026-01-21T00:00:00"/>
    </cacheField>
    <cacheField name="Treatment_Cost" numFmtId="165">
      <sharedItems containsSemiMixedTypes="0" containsString="0" containsNumber="1" containsInteger="1" minValue="5409" maxValue="249910"/>
    </cacheField>
    <cacheField name="Insurance_Type" numFmtId="0">
      <sharedItems/>
    </cacheField>
    <cacheField name="Payment_Mode" numFmtId="0">
      <sharedItems/>
    </cacheField>
    <cacheField name="City" numFmtId="0">
      <sharedItems count="5">
        <s v="Chennai"/>
        <s v="Madurai"/>
        <s v="Hyderabad"/>
        <s v="Bangalore"/>
        <s v="Coimbatore"/>
      </sharedItems>
    </cacheField>
    <cacheField name="Recovery_Status" numFmtId="0">
      <sharedItems/>
    </cacheField>
    <cacheField name="Satisfaction_Rating" numFmtId="0">
      <sharedItems containsSemiMixedTypes="0" containsString="0" containsNumber="1" containsInteger="1" minValue="1" maxValue="5"/>
    </cacheField>
    <cacheField name="Field15" caption="Field15" numFmtId="0">
      <sharedItems containsNonDate="0" containsString="0" containsBlank="1"/>
    </cacheField>
    <cacheField name="Average_Age " numFmtId="0">
      <sharedItems containsBlank="1"/>
    </cacheField>
    <cacheField name="51" numFmtId="0">
      <sharedItems containsString="0" containsBlank="1" containsNumber="1" containsInteger="1" minValue="18" maxValue="85"/>
    </cacheField>
    <cacheField name="Field18" caption="Field18" numFmtId="0">
      <sharedItems containsNonDate="0" containsString="0" containsBlank="1"/>
    </cacheField>
    <cacheField name="cardiac" numFmtId="0">
      <sharedItems containsBlank="1"/>
    </cacheField>
    <cacheField name="128" numFmtId="0">
      <sharedItems containsString="0" containsBlank="1" containsNumber="1" containsInteger="1" minValue="130" maxValue="599"/>
    </cacheField>
    <cacheField name="Field21" caption="Field21" numFmtId="0">
      <sharedItems containsNonDate="0" containsString="0" containsBlank="1"/>
    </cacheField>
    <cacheField name="Patients_with_insurance" numFmtId="0">
      <sharedItems containsBlank="1"/>
    </cacheField>
    <cacheField name="739" numFmtId="0">
      <sharedItems containsString="0" containsBlank="1" containsNumber="1" containsInteger="1" minValue="261" maxValue="998"/>
    </cacheField>
    <cacheField name="Field24" caption="Field24" numFmtId="0">
      <sharedItems containsSemiMixedTypes="0" containsString="0" containsNumber="1" containsInteger="1" minValue="1" maxValue="12"/>
    </cacheField>
    <cacheField name="Field25" caption="Field25" numFmtId="0">
      <sharedItems containsNonDate="0" containsString="0" containsBlank="1"/>
    </cacheField>
    <cacheField name="Total_revenuve" numFmtId="0">
      <sharedItems containsString="0" containsBlank="1" containsNumber="1" containsInteger="1" minValue="125383061" maxValue="125383061"/>
    </cacheField>
    <cacheField name="Median_reven" numFmtId="0">
      <sharedItems containsString="0" containsBlank="1" containsNumber="1" containsInteger="1" minValue="124977" maxValue="124977"/>
    </cacheField>
    <cacheField name="Admission_month" numFmtId="0">
      <sharedItems count="12">
        <s v="Apr"/>
        <s v="Sep"/>
        <s v="Dec"/>
        <s v="Feb"/>
        <s v="Jan"/>
        <s v="May"/>
        <s v="Nov"/>
        <s v="Jul"/>
        <s v="Oct"/>
        <s v="Mar"/>
        <s v="Aug"/>
        <s v="J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01"/>
    <n v="62"/>
    <s v="Male"/>
    <s v="Cardiac"/>
    <s v="Oncology"/>
    <s v="Dr. Kumar"/>
    <d v="2024-04-27T00:00:00"/>
    <d v="2024-05-01T00:00:00"/>
    <n v="241427"/>
    <s v="Corporate"/>
    <x v="0"/>
    <s v="Chennai"/>
    <s v="Recovered"/>
    <n v="5"/>
  </r>
  <r>
    <s v="P0002"/>
    <n v="76"/>
    <s v="Female"/>
    <s v="Neurological"/>
    <s v="Cardiology"/>
    <s v="Dr. Arun"/>
    <d v="2025-09-17T00:00:00"/>
    <d v="2025-09-26T00:00:00"/>
    <n v="181509"/>
    <s v="None"/>
    <x v="1"/>
    <s v="Chennai"/>
    <s v="Recovered"/>
    <n v="3"/>
  </r>
  <r>
    <s v="P0003"/>
    <n v="42"/>
    <s v="Male"/>
    <s v="Diabetes"/>
    <s v="Pulmonology"/>
    <s v="Dr. Kumar"/>
    <d v="2025-12-25T00:00:00"/>
    <d v="2025-12-31T00:00:00"/>
    <n v="197135"/>
    <s v="Corporate"/>
    <x v="1"/>
    <s v="Madurai"/>
    <s v="Recovered"/>
    <n v="1"/>
  </r>
  <r>
    <s v="P0004"/>
    <n v="54"/>
    <s v="Female"/>
    <s v="Diabetes"/>
    <s v="General Medicine"/>
    <s v="Dr. Raj"/>
    <d v="2025-02-13T00:00:00"/>
    <d v="2025-02-23T00:00:00"/>
    <n v="214468"/>
    <s v="Government"/>
    <x v="0"/>
    <s v="Madurai"/>
    <s v="Follow-up"/>
    <n v="3"/>
  </r>
  <r>
    <s v="P0005"/>
    <n v="74"/>
    <s v="Male"/>
    <s v="Cardiac"/>
    <s v="Orthopedics"/>
    <s v="Dr. Meena"/>
    <d v="2024-01-03T00:00:00"/>
    <d v="2024-01-18T00:00:00"/>
    <n v="158741"/>
    <s v="None"/>
    <x v="2"/>
    <s v="Hyderabad"/>
    <s v="Recovered"/>
    <n v="5"/>
  </r>
  <r>
    <s v="P0006"/>
    <n v="53"/>
    <s v="Male"/>
    <s v="Respiratory"/>
    <s v="Cardiology"/>
    <s v="Dr. Kumar"/>
    <d v="2024-05-08T00:00:00"/>
    <d v="2024-05-21T00:00:00"/>
    <n v="210069"/>
    <s v="Corporate"/>
    <x v="0"/>
    <s v="Bangalore"/>
    <s v="Recovered"/>
    <n v="3"/>
  </r>
  <r>
    <s v="P0007"/>
    <n v="35"/>
    <s v="Female"/>
    <s v="Diabetes"/>
    <s v="Oncology"/>
    <s v="Dr. Meena"/>
    <d v="2025-05-16T00:00:00"/>
    <d v="2025-06-04T00:00:00"/>
    <n v="60975"/>
    <s v="Corporate"/>
    <x v="0"/>
    <s v="Coimbatore"/>
    <s v="Follow-up"/>
    <n v="3"/>
  </r>
  <r>
    <s v="P0008"/>
    <n v="63"/>
    <s v="Female"/>
    <s v="Orthopedic"/>
    <s v="Neurology"/>
    <s v="Dr. Arun"/>
    <d v="2025-11-12T00:00:00"/>
    <d v="2025-11-26T00:00:00"/>
    <n v="58206"/>
    <s v="Corporate"/>
    <x v="0"/>
    <s v="Coimbatore"/>
    <s v="Recovered"/>
    <n v="2"/>
  </r>
  <r>
    <s v="P0009"/>
    <n v="56"/>
    <s v="Male"/>
    <s v="Infection"/>
    <s v="Oncology"/>
    <s v="Dr. Raj"/>
    <d v="2024-12-22T00:00:00"/>
    <d v="2024-12-27T00:00:00"/>
    <n v="108460"/>
    <s v="None"/>
    <x v="0"/>
    <s v="Hyderabad"/>
    <s v="Follow-up"/>
    <n v="5"/>
  </r>
  <r>
    <s v="P0010"/>
    <n v="26"/>
    <s v="Female"/>
    <s v="Cardiac"/>
    <s v="Oncology"/>
    <s v="Dr. Meena"/>
    <d v="2024-12-23T00:00:00"/>
    <d v="2025-01-03T00:00:00"/>
    <n v="221018"/>
    <s v="Corporate"/>
    <x v="1"/>
    <s v="Bangalore"/>
    <s v="Recovered"/>
    <n v="4"/>
  </r>
  <r>
    <s v="P0011"/>
    <n v="77"/>
    <s v="Male"/>
    <s v="Orthopedic"/>
    <s v="Oncology"/>
    <s v="Dr. Priya"/>
    <d v="2024-09-26T00:00:00"/>
    <d v="2024-10-10T00:00:00"/>
    <n v="156581"/>
    <s v="None"/>
    <x v="2"/>
    <s v="Coimbatore"/>
    <s v="Follow-up"/>
    <n v="3"/>
  </r>
  <r>
    <s v="P0012"/>
    <n v="62"/>
    <s v="Male"/>
    <s v="Cancer"/>
    <s v="Cardiology"/>
    <s v="Dr. Priya"/>
    <d v="2025-04-15T00:00:00"/>
    <d v="2025-04-16T00:00:00"/>
    <n v="181788"/>
    <s v="None"/>
    <x v="2"/>
    <s v="Hyderabad"/>
    <s v="Recovered"/>
    <n v="2"/>
  </r>
  <r>
    <s v="P0013"/>
    <n v="26"/>
    <s v="Female"/>
    <s v="Cardiac"/>
    <s v="Neurology"/>
    <s v="Dr. Kumar"/>
    <d v="2024-07-26T00:00:00"/>
    <d v="2024-08-02T00:00:00"/>
    <n v="26559"/>
    <s v="Corporate"/>
    <x v="2"/>
    <s v="Bangalore"/>
    <s v="Follow-up"/>
    <n v="4"/>
  </r>
  <r>
    <s v="P0014"/>
    <n v="37"/>
    <s v="Male"/>
    <s v="Cancer"/>
    <s v="Neurology"/>
    <s v="Dr. Priya"/>
    <d v="2024-07-23T00:00:00"/>
    <d v="2024-08-07T00:00:00"/>
    <n v="37951"/>
    <s v="Private"/>
    <x v="0"/>
    <s v="Coimbatore"/>
    <s v="Follow-up"/>
    <n v="4"/>
  </r>
  <r>
    <s v="P0015"/>
    <n v="24"/>
    <s v="Female"/>
    <s v="Neurological"/>
    <s v="Cardiology"/>
    <s v="Dr. Raj"/>
    <d v="2024-02-16T00:00:00"/>
    <d v="2024-02-17T00:00:00"/>
    <n v="128687"/>
    <s v="None"/>
    <x v="3"/>
    <s v="Hyderabad"/>
    <s v="Under Treatment"/>
    <n v="2"/>
  </r>
  <r>
    <s v="P0016"/>
    <n v="53"/>
    <s v="Male"/>
    <s v="Cancer"/>
    <s v="Oncology"/>
    <s v="Dr. Meena"/>
    <d v="2024-05-05T00:00:00"/>
    <d v="2024-05-11T00:00:00"/>
    <n v="182464"/>
    <s v="Private"/>
    <x v="3"/>
    <s v="Hyderabad"/>
    <s v="Under Treatment"/>
    <n v="5"/>
  </r>
  <r>
    <s v="P0017"/>
    <n v="40"/>
    <s v="Female"/>
    <s v="Neurological"/>
    <s v="Cardiology"/>
    <s v="Dr. Arun"/>
    <d v="2025-11-02T00:00:00"/>
    <d v="2025-11-06T00:00:00"/>
    <n v="224069"/>
    <s v="Government"/>
    <x v="2"/>
    <s v="Chennai"/>
    <s v="Follow-up"/>
    <n v="4"/>
  </r>
  <r>
    <s v="P0018"/>
    <n v="77"/>
    <s v="Male"/>
    <s v="Respiratory"/>
    <s v="Pulmonology"/>
    <s v="Dr. Meena"/>
    <d v="2024-11-13T00:00:00"/>
    <d v="2024-11-14T00:00:00"/>
    <n v="172896"/>
    <s v="Private"/>
    <x v="1"/>
    <s v="Coimbatore"/>
    <s v="Follow-up"/>
    <n v="2"/>
  </r>
  <r>
    <s v="P0019"/>
    <n v="73"/>
    <s v="Male"/>
    <s v="Cardiac"/>
    <s v="Neurology"/>
    <s v="Dr. Meena"/>
    <d v="2025-10-03T00:00:00"/>
    <d v="2025-10-15T00:00:00"/>
    <n v="167948"/>
    <s v="Corporate"/>
    <x v="1"/>
    <s v="Hyderabad"/>
    <s v="Under Treatment"/>
    <n v="2"/>
  </r>
  <r>
    <s v="P0020"/>
    <n v="63"/>
    <s v="Female"/>
    <s v="Infection"/>
    <s v="Cardiology"/>
    <s v="Dr. Raj"/>
    <d v="2025-09-01T00:00:00"/>
    <d v="2025-09-10T00:00:00"/>
    <n v="118480"/>
    <s v="Corporate"/>
    <x v="1"/>
    <s v="Coimbatore"/>
    <s v="Recovered"/>
    <n v="1"/>
  </r>
  <r>
    <s v="P0021"/>
    <n v="30"/>
    <s v="Male"/>
    <s v="Diabetes"/>
    <s v="General Medicine"/>
    <s v="Dr. Arun"/>
    <d v="2025-07-19T00:00:00"/>
    <d v="2025-07-30T00:00:00"/>
    <n v="173147"/>
    <s v="Corporate"/>
    <x v="3"/>
    <s v="Coimbatore"/>
    <s v="Recovered"/>
    <n v="5"/>
  </r>
  <r>
    <s v="P0022"/>
    <n v="52"/>
    <s v="Female"/>
    <s v="Infection"/>
    <s v="Cardiology"/>
    <s v="Dr. Arun"/>
    <d v="2024-04-20T00:00:00"/>
    <d v="2024-05-08T00:00:00"/>
    <n v="30702"/>
    <s v="Private"/>
    <x v="0"/>
    <s v="Chennai"/>
    <s v="Follow-up"/>
    <n v="1"/>
  </r>
  <r>
    <s v="P0023"/>
    <n v="52"/>
    <s v="Female"/>
    <s v="Cardiac"/>
    <s v="Orthopedics"/>
    <s v="Dr. Meena"/>
    <d v="2024-02-15T00:00:00"/>
    <d v="2024-03-06T00:00:00"/>
    <n v="143554"/>
    <s v="Government"/>
    <x v="3"/>
    <s v="Bangalore"/>
    <s v="Follow-up"/>
    <n v="3"/>
  </r>
  <r>
    <s v="P0024"/>
    <n v="28"/>
    <s v="Female"/>
    <s v="Infection"/>
    <s v="Neurology"/>
    <s v="Dr. Kumar"/>
    <d v="2024-03-23T00:00:00"/>
    <d v="2024-03-24T00:00:00"/>
    <n v="248306"/>
    <s v="None"/>
    <x v="3"/>
    <s v="Hyderabad"/>
    <s v="Under Treatment"/>
    <n v="5"/>
  </r>
  <r>
    <s v="P0025"/>
    <n v="40"/>
    <s v="Female"/>
    <s v="Diabetes"/>
    <s v="General Medicine"/>
    <s v="Dr. Arun"/>
    <d v="2025-12-27T00:00:00"/>
    <d v="2026-01-03T00:00:00"/>
    <n v="227657"/>
    <s v="Government"/>
    <x v="3"/>
    <s v="Hyderabad"/>
    <s v="Under Treatment"/>
    <n v="5"/>
  </r>
  <r>
    <s v="P0026"/>
    <n v="85"/>
    <s v="Male"/>
    <s v="Cardiac"/>
    <s v="General Medicine"/>
    <s v="Dr. Raj"/>
    <d v="2024-08-03T00:00:00"/>
    <d v="2024-08-04T00:00:00"/>
    <n v="158912"/>
    <s v="Private"/>
    <x v="2"/>
    <s v="Bangalore"/>
    <s v="Recovered"/>
    <n v="3"/>
  </r>
  <r>
    <s v="P0027"/>
    <n v="43"/>
    <s v="Female"/>
    <s v="Orthopedic"/>
    <s v="Neurology"/>
    <s v="Dr. Meena"/>
    <d v="2024-03-27T00:00:00"/>
    <d v="2024-04-08T00:00:00"/>
    <n v="74371"/>
    <s v="Private"/>
    <x v="3"/>
    <s v="Chennai"/>
    <s v="Recovered"/>
    <n v="3"/>
  </r>
  <r>
    <s v="P0028"/>
    <n v="42"/>
    <s v="Female"/>
    <s v="Cancer"/>
    <s v="Neurology"/>
    <s v="Dr. Raj"/>
    <d v="2024-09-17T00:00:00"/>
    <d v="2024-10-02T00:00:00"/>
    <n v="51551"/>
    <s v="None"/>
    <x v="0"/>
    <s v="Chennai"/>
    <s v="Under Treatment"/>
    <n v="4"/>
  </r>
  <r>
    <s v="P0029"/>
    <n v="30"/>
    <s v="Female"/>
    <s v="Cancer"/>
    <s v="Neurology"/>
    <s v="Dr. Kumar"/>
    <d v="2025-07-02T00:00:00"/>
    <d v="2025-07-17T00:00:00"/>
    <n v="177627"/>
    <s v="Private"/>
    <x v="1"/>
    <s v="Hyderabad"/>
    <s v="Follow-up"/>
    <n v="4"/>
  </r>
  <r>
    <s v="P0030"/>
    <n v="66"/>
    <s v="Female"/>
    <s v="Infection"/>
    <s v="Oncology"/>
    <s v="Dr. Arun"/>
    <d v="2025-12-03T00:00:00"/>
    <d v="2025-12-17T00:00:00"/>
    <n v="165074"/>
    <s v="Government"/>
    <x v="0"/>
    <s v="Coimbatore"/>
    <s v="Follow-up"/>
    <n v="4"/>
  </r>
  <r>
    <s v="P0031"/>
    <n v="20"/>
    <s v="Male"/>
    <s v="Cardiac"/>
    <s v="Pulmonology"/>
    <s v="Dr. Meena"/>
    <d v="2024-11-19T00:00:00"/>
    <d v="2024-12-06T00:00:00"/>
    <n v="81355"/>
    <s v="Private"/>
    <x v="1"/>
    <s v="Madurai"/>
    <s v="Under Treatment"/>
    <n v="2"/>
  </r>
  <r>
    <s v="P0032"/>
    <n v="44"/>
    <s v="Female"/>
    <s v="Neurological"/>
    <s v="Neurology"/>
    <s v="Dr. Raj"/>
    <d v="2024-10-05T00:00:00"/>
    <d v="2024-10-21T00:00:00"/>
    <n v="221244"/>
    <s v="None"/>
    <x v="2"/>
    <s v="Madurai"/>
    <s v="Recovered"/>
    <n v="4"/>
  </r>
  <r>
    <s v="P0033"/>
    <n v="84"/>
    <s v="Female"/>
    <s v="Neurological"/>
    <s v="General Medicine"/>
    <s v="Dr. Arun"/>
    <d v="2025-12-17T00:00:00"/>
    <d v="2025-12-18T00:00:00"/>
    <n v="243245"/>
    <s v="Government"/>
    <x v="0"/>
    <s v="Bangalore"/>
    <s v="Recovered"/>
    <n v="1"/>
  </r>
  <r>
    <s v="P0034"/>
    <n v="46"/>
    <s v="Male"/>
    <s v="Cardiac"/>
    <s v="Pulmonology"/>
    <s v="Dr. Kumar"/>
    <d v="2024-07-27T00:00:00"/>
    <d v="2024-07-29T00:00:00"/>
    <n v="133732"/>
    <s v="Government"/>
    <x v="3"/>
    <s v="Coimbatore"/>
    <s v="Recovered"/>
    <n v="5"/>
  </r>
  <r>
    <s v="P0035"/>
    <n v="50"/>
    <s v="Male"/>
    <s v="Orthopedic"/>
    <s v="Neurology"/>
    <s v="Dr. Arun"/>
    <d v="2025-08-31T00:00:00"/>
    <d v="2025-09-02T00:00:00"/>
    <n v="61245"/>
    <s v="Corporate"/>
    <x v="3"/>
    <s v="Chennai"/>
    <s v="Recovered"/>
    <n v="3"/>
  </r>
  <r>
    <s v="P0036"/>
    <n v="69"/>
    <s v="Male"/>
    <s v="Cancer"/>
    <s v="Cardiology"/>
    <s v="Dr. Priya"/>
    <d v="2025-05-24T00:00:00"/>
    <d v="2025-06-13T00:00:00"/>
    <n v="215635"/>
    <s v="Corporate"/>
    <x v="3"/>
    <s v="Hyderabad"/>
    <s v="Recovered"/>
    <n v="1"/>
  </r>
  <r>
    <s v="P0037"/>
    <n v="70"/>
    <s v="Female"/>
    <s v="Infection"/>
    <s v="Neurology"/>
    <s v="Dr. Priya"/>
    <d v="2025-02-01T00:00:00"/>
    <d v="2025-02-04T00:00:00"/>
    <n v="179932"/>
    <s v="Private"/>
    <x v="3"/>
    <s v="Madurai"/>
    <s v="Follow-up"/>
    <n v="4"/>
  </r>
  <r>
    <s v="P0038"/>
    <n v="19"/>
    <s v="Female"/>
    <s v="Neurological"/>
    <s v="Cardiology"/>
    <s v="Dr. Kumar"/>
    <d v="2025-07-07T00:00:00"/>
    <d v="2025-07-15T00:00:00"/>
    <n v="125827"/>
    <s v="Private"/>
    <x v="0"/>
    <s v="Coimbatore"/>
    <s v="Recovered"/>
    <n v="1"/>
  </r>
  <r>
    <s v="P0039"/>
    <n v="80"/>
    <s v="Male"/>
    <s v="Cancer"/>
    <s v="Neurology"/>
    <s v="Dr. Kumar"/>
    <d v="2024-05-20T00:00:00"/>
    <d v="2024-05-26T00:00:00"/>
    <n v="127119"/>
    <s v="Corporate"/>
    <x v="2"/>
    <s v="Madurai"/>
    <s v="Under Treatment"/>
    <n v="1"/>
  </r>
  <r>
    <s v="P0040"/>
    <n v="44"/>
    <s v="Female"/>
    <s v="Respiratory"/>
    <s v="General Medicine"/>
    <s v="Dr. Priya"/>
    <d v="2024-03-02T00:00:00"/>
    <d v="2024-03-05T00:00:00"/>
    <n v="135765"/>
    <s v="None"/>
    <x v="2"/>
    <s v="Hyderabad"/>
    <s v="Under Treatment"/>
    <n v="3"/>
  </r>
  <r>
    <s v="P0041"/>
    <n v="31"/>
    <s v="Male"/>
    <s v="Cardiac"/>
    <s v="Orthopedics"/>
    <s v="Dr. Arun"/>
    <d v="2025-06-10T00:00:00"/>
    <d v="2025-06-28T00:00:00"/>
    <n v="109064"/>
    <s v="Corporate"/>
    <x v="3"/>
    <s v="Bangalore"/>
    <s v="Follow-up"/>
    <n v="1"/>
  </r>
  <r>
    <s v="P0042"/>
    <n v="26"/>
    <s v="Female"/>
    <s v="Cardiac"/>
    <s v="Pulmonology"/>
    <s v="Dr. Meena"/>
    <d v="2024-08-08T00:00:00"/>
    <d v="2024-08-10T00:00:00"/>
    <n v="69808"/>
    <s v="Private"/>
    <x v="0"/>
    <s v="Coimbatore"/>
    <s v="Under Treatment"/>
    <n v="1"/>
  </r>
  <r>
    <s v="P0043"/>
    <n v="29"/>
    <s v="Female"/>
    <s v="Neurological"/>
    <s v="Cardiology"/>
    <s v="Dr. Priya"/>
    <d v="2025-05-24T00:00:00"/>
    <d v="2025-06-09T00:00:00"/>
    <n v="20989"/>
    <s v="Private"/>
    <x v="0"/>
    <s v="Coimbatore"/>
    <s v="Under Treatment"/>
    <n v="4"/>
  </r>
  <r>
    <s v="P0044"/>
    <n v="51"/>
    <s v="Male"/>
    <s v="Orthopedic"/>
    <s v="Pulmonology"/>
    <s v="Dr. Arun"/>
    <d v="2025-09-25T00:00:00"/>
    <d v="2025-10-08T00:00:00"/>
    <n v="234701"/>
    <s v="None"/>
    <x v="1"/>
    <s v="Coimbatore"/>
    <s v="Recovered"/>
    <n v="4"/>
  </r>
  <r>
    <s v="P0045"/>
    <n v="20"/>
    <s v="Female"/>
    <s v="Cancer"/>
    <s v="Oncology"/>
    <s v="Dr. Kumar"/>
    <d v="2024-04-15T00:00:00"/>
    <d v="2024-04-29T00:00:00"/>
    <n v="86070"/>
    <s v="Government"/>
    <x v="3"/>
    <s v="Coimbatore"/>
    <s v="Follow-up"/>
    <n v="5"/>
  </r>
  <r>
    <s v="P0046"/>
    <n v="65"/>
    <s v="Female"/>
    <s v="Infection"/>
    <s v="Neurology"/>
    <s v="Dr. Meena"/>
    <d v="2024-10-29T00:00:00"/>
    <d v="2024-11-06T00:00:00"/>
    <n v="223210"/>
    <s v="Corporate"/>
    <x v="3"/>
    <s v="Coimbatore"/>
    <s v="Recovered"/>
    <n v="3"/>
  </r>
  <r>
    <s v="P0047"/>
    <n v="28"/>
    <s v="Male"/>
    <s v="Orthopedic"/>
    <s v="Cardiology"/>
    <s v="Dr. Meena"/>
    <d v="2024-08-10T00:00:00"/>
    <d v="2024-08-29T00:00:00"/>
    <n v="232016"/>
    <s v="Government"/>
    <x v="2"/>
    <s v="Coimbatore"/>
    <s v="Recovered"/>
    <n v="3"/>
  </r>
  <r>
    <s v="P0048"/>
    <n v="58"/>
    <s v="Female"/>
    <s v="Cardiac"/>
    <s v="Neurology"/>
    <s v="Dr. Arun"/>
    <d v="2025-03-20T00:00:00"/>
    <d v="2025-04-06T00:00:00"/>
    <n v="122486"/>
    <s v="None"/>
    <x v="0"/>
    <s v="Hyderabad"/>
    <s v="Follow-up"/>
    <n v="2"/>
  </r>
  <r>
    <s v="P0049"/>
    <n v="34"/>
    <s v="Female"/>
    <s v="Cardiac"/>
    <s v="Oncology"/>
    <s v="Dr. Arun"/>
    <d v="2025-12-04T00:00:00"/>
    <d v="2025-12-19T00:00:00"/>
    <n v="203443"/>
    <s v="Private"/>
    <x v="1"/>
    <s v="Coimbatore"/>
    <s v="Follow-up"/>
    <n v="2"/>
  </r>
  <r>
    <s v="P0050"/>
    <n v="35"/>
    <s v="Female"/>
    <s v="Infection"/>
    <s v="Cardiology"/>
    <s v="Dr. Arun"/>
    <d v="2025-07-11T00:00:00"/>
    <d v="2025-07-24T00:00:00"/>
    <n v="240777"/>
    <s v="None"/>
    <x v="2"/>
    <s v="Bangalore"/>
    <s v="Follow-up"/>
    <n v="1"/>
  </r>
  <r>
    <s v="P0051"/>
    <n v="21"/>
    <s v="Female"/>
    <s v="Diabetes"/>
    <s v="Cardiology"/>
    <s v="Dr. Meena"/>
    <d v="2025-08-25T00:00:00"/>
    <d v="2025-09-12T00:00:00"/>
    <n v="148832"/>
    <s v="Private"/>
    <x v="0"/>
    <s v="Coimbatore"/>
    <s v="Follow-up"/>
    <n v="5"/>
  </r>
  <r>
    <s v="P0052"/>
    <n v="51"/>
    <s v="Female"/>
    <s v="Orthopedic"/>
    <s v="Orthopedics"/>
    <s v="Dr. Priya"/>
    <d v="2025-08-19T00:00:00"/>
    <d v="2025-08-21T00:00:00"/>
    <n v="44666"/>
    <s v="Government"/>
    <x v="3"/>
    <s v="Coimbatore"/>
    <s v="Recovered"/>
    <n v="4"/>
  </r>
  <r>
    <s v="P0053"/>
    <n v="62"/>
    <s v="Male"/>
    <s v="Respiratory"/>
    <s v="General Medicine"/>
    <s v="Dr. Meena"/>
    <d v="2024-08-22T00:00:00"/>
    <d v="2024-09-03T00:00:00"/>
    <n v="125851"/>
    <s v="None"/>
    <x v="0"/>
    <s v="Hyderabad"/>
    <s v="Recovered"/>
    <n v="4"/>
  </r>
  <r>
    <s v="P0054"/>
    <n v="84"/>
    <s v="Male"/>
    <s v="Infection"/>
    <s v="Cardiology"/>
    <s v="Dr. Arun"/>
    <d v="2025-07-19T00:00:00"/>
    <d v="2025-08-06T00:00:00"/>
    <n v="94593"/>
    <s v="Government"/>
    <x v="3"/>
    <s v="Bangalore"/>
    <s v="Follow-up"/>
    <n v="3"/>
  </r>
  <r>
    <s v="P0055"/>
    <n v="77"/>
    <s v="Male"/>
    <s v="Infection"/>
    <s v="Oncology"/>
    <s v="Dr. Arun"/>
    <d v="2024-10-27T00:00:00"/>
    <d v="2024-11-03T00:00:00"/>
    <n v="41552"/>
    <s v="None"/>
    <x v="3"/>
    <s v="Hyderabad"/>
    <s v="Recovered"/>
    <n v="3"/>
  </r>
  <r>
    <s v="P0056"/>
    <n v="81"/>
    <s v="Male"/>
    <s v="Cancer"/>
    <s v="Pulmonology"/>
    <s v="Dr. Raj"/>
    <d v="2025-05-07T00:00:00"/>
    <d v="2025-05-15T00:00:00"/>
    <n v="227469"/>
    <s v="None"/>
    <x v="3"/>
    <s v="Coimbatore"/>
    <s v="Recovered"/>
    <n v="5"/>
  </r>
  <r>
    <s v="P0057"/>
    <n v="73"/>
    <s v="Female"/>
    <s v="Cardiac"/>
    <s v="Cardiology"/>
    <s v="Dr. Meena"/>
    <d v="2024-08-20T00:00:00"/>
    <d v="2024-09-01T00:00:00"/>
    <n v="160404"/>
    <s v="Private"/>
    <x v="2"/>
    <s v="Hyderabad"/>
    <s v="Under Treatment"/>
    <n v="1"/>
  </r>
  <r>
    <s v="P0058"/>
    <n v="31"/>
    <s v="Female"/>
    <s v="Diabetes"/>
    <s v="Orthopedics"/>
    <s v="Dr. Arun"/>
    <d v="2025-09-02T00:00:00"/>
    <d v="2025-09-21T00:00:00"/>
    <n v="194509"/>
    <s v="Corporate"/>
    <x v="2"/>
    <s v="Chennai"/>
    <s v="Follow-up"/>
    <n v="2"/>
  </r>
  <r>
    <s v="P0059"/>
    <n v="39"/>
    <s v="Female"/>
    <s v="Cancer"/>
    <s v="Oncology"/>
    <s v="Dr. Priya"/>
    <d v="2024-09-19T00:00:00"/>
    <d v="2024-09-30T00:00:00"/>
    <n v="22058"/>
    <s v="None"/>
    <x v="3"/>
    <s v="Madurai"/>
    <s v="Recovered"/>
    <n v="4"/>
  </r>
  <r>
    <s v="P0060"/>
    <n v="73"/>
    <s v="Male"/>
    <s v="Respiratory"/>
    <s v="Orthopedics"/>
    <s v="Dr. Priya"/>
    <d v="2025-05-19T00:00:00"/>
    <d v="2025-06-04T00:00:00"/>
    <n v="20041"/>
    <s v="Private"/>
    <x v="1"/>
    <s v="Madurai"/>
    <s v="Under Treatment"/>
    <n v="1"/>
  </r>
  <r>
    <s v="P0061"/>
    <n v="42"/>
    <s v="Female"/>
    <s v="Neurological"/>
    <s v="Neurology"/>
    <s v="Dr. Meena"/>
    <d v="2024-03-21T00:00:00"/>
    <d v="2024-03-22T00:00:00"/>
    <n v="149566"/>
    <s v="None"/>
    <x v="1"/>
    <s v="Hyderabad"/>
    <s v="Under Treatment"/>
    <n v="1"/>
  </r>
  <r>
    <s v="P0062"/>
    <n v="40"/>
    <s v="Male"/>
    <s v="Cancer"/>
    <s v="Pulmonology"/>
    <s v="Dr. Arun"/>
    <d v="2024-11-19T00:00:00"/>
    <d v="2024-11-30T00:00:00"/>
    <n v="53056"/>
    <s v="None"/>
    <x v="2"/>
    <s v="Madurai"/>
    <s v="Follow-up"/>
    <n v="2"/>
  </r>
  <r>
    <s v="P0063"/>
    <n v="30"/>
    <s v="Female"/>
    <s v="Diabetes"/>
    <s v="Cardiology"/>
    <s v="Dr. Arun"/>
    <d v="2025-05-14T00:00:00"/>
    <d v="2025-05-22T00:00:00"/>
    <n v="23298"/>
    <s v="Government"/>
    <x v="3"/>
    <s v="Coimbatore"/>
    <s v="Under Treatment"/>
    <n v="3"/>
  </r>
  <r>
    <s v="P0064"/>
    <n v="83"/>
    <s v="Female"/>
    <s v="Cancer"/>
    <s v="Oncology"/>
    <s v="Dr. Priya"/>
    <d v="2024-05-19T00:00:00"/>
    <d v="2024-05-25T00:00:00"/>
    <n v="47630"/>
    <s v="Government"/>
    <x v="0"/>
    <s v="Coimbatore"/>
    <s v="Recovered"/>
    <n v="1"/>
  </r>
  <r>
    <s v="P0065"/>
    <n v="53"/>
    <s v="Male"/>
    <s v="Orthopedic"/>
    <s v="Oncology"/>
    <s v="Dr. Arun"/>
    <d v="2024-01-07T00:00:00"/>
    <d v="2024-01-13T00:00:00"/>
    <n v="156724"/>
    <s v="None"/>
    <x v="2"/>
    <s v="Madurai"/>
    <s v="Recovered"/>
    <n v="4"/>
  </r>
  <r>
    <s v="P0066"/>
    <n v="85"/>
    <s v="Male"/>
    <s v="Infection"/>
    <s v="Neurology"/>
    <s v="Dr. Arun"/>
    <d v="2024-12-28T00:00:00"/>
    <d v="2025-01-07T00:00:00"/>
    <n v="215091"/>
    <s v="Private"/>
    <x v="3"/>
    <s v="Coimbatore"/>
    <s v="Under Treatment"/>
    <n v="4"/>
  </r>
  <r>
    <s v="P0067"/>
    <n v="22"/>
    <s v="Male"/>
    <s v="Neurological"/>
    <s v="Pulmonology"/>
    <s v="Dr. Arun"/>
    <d v="2024-10-31T00:00:00"/>
    <d v="2024-11-19T00:00:00"/>
    <n v="142659"/>
    <s v="Corporate"/>
    <x v="3"/>
    <s v="Chennai"/>
    <s v="Follow-up"/>
    <n v="1"/>
  </r>
  <r>
    <s v="P0068"/>
    <n v="54"/>
    <s v="Female"/>
    <s v="Respiratory"/>
    <s v="Oncology"/>
    <s v="Dr. Raj"/>
    <d v="2025-11-23T00:00:00"/>
    <d v="2025-12-04T00:00:00"/>
    <n v="142295"/>
    <s v="Government"/>
    <x v="2"/>
    <s v="Bangalore"/>
    <s v="Recovered"/>
    <n v="4"/>
  </r>
  <r>
    <s v="P0069"/>
    <n v="70"/>
    <s v="Female"/>
    <s v="Orthopedic"/>
    <s v="Pulmonology"/>
    <s v="Dr. Meena"/>
    <d v="2024-05-06T00:00:00"/>
    <d v="2024-05-07T00:00:00"/>
    <n v="64085"/>
    <s v="None"/>
    <x v="3"/>
    <s v="Chennai"/>
    <s v="Follow-up"/>
    <n v="5"/>
  </r>
  <r>
    <s v="P0070"/>
    <n v="56"/>
    <s v="Male"/>
    <s v="Respiratory"/>
    <s v="Cardiology"/>
    <s v="Dr. Priya"/>
    <d v="2024-04-25T00:00:00"/>
    <d v="2024-05-01T00:00:00"/>
    <n v="212927"/>
    <s v="Government"/>
    <x v="2"/>
    <s v="Madurai"/>
    <s v="Recovered"/>
    <n v="2"/>
  </r>
  <r>
    <s v="P0071"/>
    <n v="28"/>
    <s v="Male"/>
    <s v="Cancer"/>
    <s v="General Medicine"/>
    <s v="Dr. Meena"/>
    <d v="2024-03-21T00:00:00"/>
    <d v="2024-03-30T00:00:00"/>
    <n v="119271"/>
    <s v="Corporate"/>
    <x v="1"/>
    <s v="Chennai"/>
    <s v="Follow-up"/>
    <n v="4"/>
  </r>
  <r>
    <s v="P0072"/>
    <n v="29"/>
    <s v="Male"/>
    <s v="Cancer"/>
    <s v="Orthopedics"/>
    <s v="Dr. Priya"/>
    <d v="2025-05-18T00:00:00"/>
    <d v="2025-05-31T00:00:00"/>
    <n v="71195"/>
    <s v="Private"/>
    <x v="0"/>
    <s v="Hyderabad"/>
    <s v="Follow-up"/>
    <n v="3"/>
  </r>
  <r>
    <s v="P0073"/>
    <n v="31"/>
    <s v="Female"/>
    <s v="Cancer"/>
    <s v="Oncology"/>
    <s v="Dr. Meena"/>
    <d v="2024-08-01T00:00:00"/>
    <d v="2024-08-21T00:00:00"/>
    <n v="101072"/>
    <s v="Private"/>
    <x v="1"/>
    <s v="Coimbatore"/>
    <s v="Recovered"/>
    <n v="4"/>
  </r>
  <r>
    <s v="P0074"/>
    <n v="62"/>
    <s v="Male"/>
    <s v="Respiratory"/>
    <s v="Pulmonology"/>
    <s v="Dr. Kumar"/>
    <d v="2024-03-03T00:00:00"/>
    <d v="2024-03-16T00:00:00"/>
    <n v="95513"/>
    <s v="Government"/>
    <x v="0"/>
    <s v="Bangalore"/>
    <s v="Under Treatment"/>
    <n v="1"/>
  </r>
  <r>
    <s v="P0075"/>
    <n v="84"/>
    <s v="Female"/>
    <s v="Infection"/>
    <s v="Cardiology"/>
    <s v="Dr. Raj"/>
    <d v="2025-06-20T00:00:00"/>
    <d v="2025-07-01T00:00:00"/>
    <n v="38235"/>
    <s v="Private"/>
    <x v="0"/>
    <s v="Hyderabad"/>
    <s v="Under Treatment"/>
    <n v="4"/>
  </r>
  <r>
    <s v="P0076"/>
    <n v="75"/>
    <s v="Female"/>
    <s v="Neurological"/>
    <s v="Neurology"/>
    <s v="Dr. Meena"/>
    <d v="2025-12-07T00:00:00"/>
    <d v="2025-12-10T00:00:00"/>
    <n v="220805"/>
    <s v="Corporate"/>
    <x v="3"/>
    <s v="Coimbatore"/>
    <s v="Recovered"/>
    <n v="2"/>
  </r>
  <r>
    <s v="P0077"/>
    <n v="53"/>
    <s v="Female"/>
    <s v="Orthopedic"/>
    <s v="Oncology"/>
    <s v="Dr. Arun"/>
    <d v="2024-12-30T00:00:00"/>
    <d v="2025-01-18T00:00:00"/>
    <n v="196683"/>
    <s v="Corporate"/>
    <x v="1"/>
    <s v="Madurai"/>
    <s v="Recovered"/>
    <n v="5"/>
  </r>
  <r>
    <s v="P0078"/>
    <n v="52"/>
    <s v="Male"/>
    <s v="Cancer"/>
    <s v="Oncology"/>
    <s v="Dr. Arun"/>
    <d v="2024-07-15T00:00:00"/>
    <d v="2024-07-31T00:00:00"/>
    <n v="189270"/>
    <s v="None"/>
    <x v="2"/>
    <s v="Madurai"/>
    <s v="Follow-up"/>
    <n v="2"/>
  </r>
  <r>
    <s v="P0079"/>
    <n v="68"/>
    <s v="Male"/>
    <s v="Respiratory"/>
    <s v="Pulmonology"/>
    <s v="Dr. Meena"/>
    <d v="2024-08-16T00:00:00"/>
    <d v="2024-09-05T00:00:00"/>
    <n v="19679"/>
    <s v="Corporate"/>
    <x v="2"/>
    <s v="Hyderabad"/>
    <s v="Recovered"/>
    <n v="3"/>
  </r>
  <r>
    <s v="P0080"/>
    <n v="29"/>
    <s v="Male"/>
    <s v="Diabetes"/>
    <s v="Oncology"/>
    <s v="Dr. Raj"/>
    <d v="2025-03-18T00:00:00"/>
    <d v="2025-03-31T00:00:00"/>
    <n v="211891"/>
    <s v="Government"/>
    <x v="2"/>
    <s v="Chennai"/>
    <s v="Under Treatment"/>
    <n v="5"/>
  </r>
  <r>
    <s v="P0081"/>
    <n v="46"/>
    <s v="Male"/>
    <s v="Respiratory"/>
    <s v="Pulmonology"/>
    <s v="Dr. Priya"/>
    <d v="2024-09-09T00:00:00"/>
    <d v="2024-09-29T00:00:00"/>
    <n v="240537"/>
    <s v="Private"/>
    <x v="0"/>
    <s v="Chennai"/>
    <s v="Recovered"/>
    <n v="2"/>
  </r>
  <r>
    <s v="P0082"/>
    <n v="32"/>
    <s v="Female"/>
    <s v="Cardiac"/>
    <s v="Cardiology"/>
    <s v="Dr. Priya"/>
    <d v="2024-10-10T00:00:00"/>
    <d v="2024-10-21T00:00:00"/>
    <n v="78153"/>
    <s v="Private"/>
    <x v="0"/>
    <s v="Bangalore"/>
    <s v="Follow-up"/>
    <n v="5"/>
  </r>
  <r>
    <s v="P0083"/>
    <n v="47"/>
    <s v="Male"/>
    <s v="Infection"/>
    <s v="Pulmonology"/>
    <s v="Dr. Meena"/>
    <d v="2025-07-22T00:00:00"/>
    <d v="2025-07-28T00:00:00"/>
    <n v="28603"/>
    <s v="Government"/>
    <x v="3"/>
    <s v="Hyderabad"/>
    <s v="Follow-up"/>
    <n v="3"/>
  </r>
  <r>
    <s v="P0084"/>
    <n v="50"/>
    <s v="Male"/>
    <s v="Orthopedic"/>
    <s v="Pulmonology"/>
    <s v="Dr. Arun"/>
    <d v="2024-07-06T00:00:00"/>
    <d v="2024-07-25T00:00:00"/>
    <n v="67026"/>
    <s v="Corporate"/>
    <x v="3"/>
    <s v="Coimbatore"/>
    <s v="Recovered"/>
    <n v="5"/>
  </r>
  <r>
    <s v="P0085"/>
    <n v="61"/>
    <s v="Female"/>
    <s v="Infection"/>
    <s v="Oncology"/>
    <s v="Dr. Priya"/>
    <d v="2025-12-31T00:00:00"/>
    <d v="2026-01-20T00:00:00"/>
    <n v="119335"/>
    <s v="Private"/>
    <x v="0"/>
    <s v="Chennai"/>
    <s v="Under Treatment"/>
    <n v="3"/>
  </r>
  <r>
    <s v="P0086"/>
    <n v="41"/>
    <s v="Male"/>
    <s v="Respiratory"/>
    <s v="General Medicine"/>
    <s v="Dr. Kumar"/>
    <d v="2024-02-09T00:00:00"/>
    <d v="2024-02-29T00:00:00"/>
    <n v="93312"/>
    <s v="Government"/>
    <x v="2"/>
    <s v="Madurai"/>
    <s v="Follow-up"/>
    <n v="5"/>
  </r>
  <r>
    <s v="P0087"/>
    <n v="49"/>
    <s v="Female"/>
    <s v="Neurological"/>
    <s v="Pulmonology"/>
    <s v="Dr. Meena"/>
    <d v="2025-01-14T00:00:00"/>
    <d v="2025-01-21T00:00:00"/>
    <n v="155035"/>
    <s v="None"/>
    <x v="0"/>
    <s v="Coimbatore"/>
    <s v="Under Treatment"/>
    <n v="4"/>
  </r>
  <r>
    <s v="P0088"/>
    <n v="71"/>
    <s v="Female"/>
    <s v="Neurological"/>
    <s v="Neurology"/>
    <s v="Dr. Kumar"/>
    <d v="2024-09-10T00:00:00"/>
    <d v="2024-09-25T00:00:00"/>
    <n v="221059"/>
    <s v="Government"/>
    <x v="3"/>
    <s v="Madurai"/>
    <s v="Recovered"/>
    <n v="1"/>
  </r>
  <r>
    <s v="P0089"/>
    <n v="34"/>
    <s v="Female"/>
    <s v="Neurological"/>
    <s v="Orthopedics"/>
    <s v="Dr. Raj"/>
    <d v="2024-07-08T00:00:00"/>
    <d v="2024-07-13T00:00:00"/>
    <n v="170154"/>
    <s v="Private"/>
    <x v="2"/>
    <s v="Madurai"/>
    <s v="Under Treatment"/>
    <n v="3"/>
  </r>
  <r>
    <s v="P0090"/>
    <n v="39"/>
    <s v="Male"/>
    <s v="Diabetes"/>
    <s v="Orthopedics"/>
    <s v="Dr. Priya"/>
    <d v="2024-05-13T00:00:00"/>
    <d v="2024-05-23T00:00:00"/>
    <n v="121329"/>
    <s v="Private"/>
    <x v="1"/>
    <s v="Madurai"/>
    <s v="Follow-up"/>
    <n v="2"/>
  </r>
  <r>
    <s v="P0091"/>
    <n v="76"/>
    <s v="Female"/>
    <s v="Cancer"/>
    <s v="Pulmonology"/>
    <s v="Dr. Arun"/>
    <d v="2025-11-16T00:00:00"/>
    <d v="2025-11-22T00:00:00"/>
    <n v="50938"/>
    <s v="None"/>
    <x v="1"/>
    <s v="Chennai"/>
    <s v="Under Treatment"/>
    <n v="5"/>
  </r>
  <r>
    <s v="P0092"/>
    <n v="80"/>
    <s v="Female"/>
    <s v="Diabetes"/>
    <s v="General Medicine"/>
    <s v="Dr. Kumar"/>
    <d v="2025-10-08T00:00:00"/>
    <d v="2025-10-11T00:00:00"/>
    <n v="111143"/>
    <s v="Corporate"/>
    <x v="1"/>
    <s v="Madurai"/>
    <s v="Follow-up"/>
    <n v="1"/>
  </r>
  <r>
    <s v="P0093"/>
    <n v="45"/>
    <s v="Female"/>
    <s v="Diabetes"/>
    <s v="Neurology"/>
    <s v="Dr. Priya"/>
    <d v="2024-10-12T00:00:00"/>
    <d v="2024-10-22T00:00:00"/>
    <n v="152076"/>
    <s v="Corporate"/>
    <x v="0"/>
    <s v="Chennai"/>
    <s v="Follow-up"/>
    <n v="2"/>
  </r>
  <r>
    <s v="P0094"/>
    <n v="36"/>
    <s v="Male"/>
    <s v="Respiratory"/>
    <s v="General Medicine"/>
    <s v="Dr. Meena"/>
    <d v="2024-10-07T00:00:00"/>
    <d v="2024-10-25T00:00:00"/>
    <n v="6486"/>
    <s v="None"/>
    <x v="1"/>
    <s v="Bangalore"/>
    <s v="Under Treatment"/>
    <n v="4"/>
  </r>
  <r>
    <s v="P0095"/>
    <n v="69"/>
    <s v="Male"/>
    <s v="Orthopedic"/>
    <s v="Neurology"/>
    <s v="Dr. Raj"/>
    <d v="2025-03-15T00:00:00"/>
    <d v="2025-04-04T00:00:00"/>
    <n v="236034"/>
    <s v="None"/>
    <x v="3"/>
    <s v="Hyderabad"/>
    <s v="Follow-up"/>
    <n v="1"/>
  </r>
  <r>
    <s v="P0096"/>
    <n v="37"/>
    <s v="Male"/>
    <s v="Orthopedic"/>
    <s v="General Medicine"/>
    <s v="Dr. Arun"/>
    <d v="2024-06-03T00:00:00"/>
    <d v="2024-06-09T00:00:00"/>
    <n v="179738"/>
    <s v="Private"/>
    <x v="3"/>
    <s v="Coimbatore"/>
    <s v="Under Treatment"/>
    <n v="2"/>
  </r>
  <r>
    <s v="P0097"/>
    <n v="80"/>
    <s v="Male"/>
    <s v="Neurological"/>
    <s v="Pulmonology"/>
    <s v="Dr. Arun"/>
    <d v="2025-06-06T00:00:00"/>
    <d v="2025-06-21T00:00:00"/>
    <n v="237932"/>
    <s v="None"/>
    <x v="1"/>
    <s v="Hyderabad"/>
    <s v="Recovered"/>
    <n v="4"/>
  </r>
  <r>
    <s v="P0098"/>
    <n v="52"/>
    <s v="Male"/>
    <s v="Infection"/>
    <s v="Oncology"/>
    <s v="Dr. Raj"/>
    <d v="2024-08-12T00:00:00"/>
    <d v="2024-08-17T00:00:00"/>
    <n v="24854"/>
    <s v="Private"/>
    <x v="0"/>
    <s v="Madurai"/>
    <s v="Recovered"/>
    <n v="1"/>
  </r>
  <r>
    <s v="P0099"/>
    <n v="20"/>
    <s v="Female"/>
    <s v="Infection"/>
    <s v="Orthopedics"/>
    <s v="Dr. Priya"/>
    <d v="2024-07-16T00:00:00"/>
    <d v="2024-08-04T00:00:00"/>
    <n v="182490"/>
    <s v="Corporate"/>
    <x v="0"/>
    <s v="Hyderabad"/>
    <s v="Recovered"/>
    <n v="1"/>
  </r>
  <r>
    <s v="P0100"/>
    <n v="48"/>
    <s v="Female"/>
    <s v="Cancer"/>
    <s v="Orthopedics"/>
    <s v="Dr. Kumar"/>
    <d v="2024-09-28T00:00:00"/>
    <d v="2024-10-01T00:00:00"/>
    <n v="194925"/>
    <s v="Private"/>
    <x v="3"/>
    <s v="Bangalore"/>
    <s v="Under Treatment"/>
    <n v="5"/>
  </r>
  <r>
    <s v="P0101"/>
    <n v="41"/>
    <s v="Female"/>
    <s v="Diabetes"/>
    <s v="Orthopedics"/>
    <s v="Dr. Raj"/>
    <d v="2025-03-13T00:00:00"/>
    <d v="2025-03-19T00:00:00"/>
    <n v="205022"/>
    <s v="Corporate"/>
    <x v="0"/>
    <s v="Madurai"/>
    <s v="Under Treatment"/>
    <n v="1"/>
  </r>
  <r>
    <s v="P0102"/>
    <n v="23"/>
    <s v="Male"/>
    <s v="Respiratory"/>
    <s v="Neurology"/>
    <s v="Dr. Meena"/>
    <d v="2024-05-22T00:00:00"/>
    <d v="2024-06-10T00:00:00"/>
    <n v="219879"/>
    <s v="None"/>
    <x v="1"/>
    <s v="Chennai"/>
    <s v="Recovered"/>
    <n v="5"/>
  </r>
  <r>
    <s v="P0103"/>
    <n v="44"/>
    <s v="Male"/>
    <s v="Neurological"/>
    <s v="Cardiology"/>
    <s v="Dr. Arun"/>
    <d v="2025-03-07T00:00:00"/>
    <d v="2025-03-18T00:00:00"/>
    <n v="128350"/>
    <s v="None"/>
    <x v="0"/>
    <s v="Madurai"/>
    <s v="Under Treatment"/>
    <n v="2"/>
  </r>
  <r>
    <s v="P0104"/>
    <n v="68"/>
    <s v="Male"/>
    <s v="Cardiac"/>
    <s v="Pulmonology"/>
    <s v="Dr. Arun"/>
    <d v="2024-02-24T00:00:00"/>
    <d v="2024-03-12T00:00:00"/>
    <n v="128391"/>
    <s v="None"/>
    <x v="1"/>
    <s v="Bangalore"/>
    <s v="Under Treatment"/>
    <n v="3"/>
  </r>
  <r>
    <s v="P0105"/>
    <n v="36"/>
    <s v="Female"/>
    <s v="Respiratory"/>
    <s v="Pulmonology"/>
    <s v="Dr. Kumar"/>
    <d v="2024-12-26T00:00:00"/>
    <d v="2025-01-13T00:00:00"/>
    <n v="29730"/>
    <s v="Government"/>
    <x v="3"/>
    <s v="Bangalore"/>
    <s v="Recovered"/>
    <n v="4"/>
  </r>
  <r>
    <s v="P0106"/>
    <n v="20"/>
    <s v="Male"/>
    <s v="Orthopedic"/>
    <s v="Pulmonology"/>
    <s v="Dr. Kumar"/>
    <d v="2025-12-04T00:00:00"/>
    <d v="2025-12-22T00:00:00"/>
    <n v="210584"/>
    <s v="Private"/>
    <x v="0"/>
    <s v="Hyderabad"/>
    <s v="Under Treatment"/>
    <n v="1"/>
  </r>
  <r>
    <s v="P0107"/>
    <n v="40"/>
    <s v="Male"/>
    <s v="Respiratory"/>
    <s v="General Medicine"/>
    <s v="Dr. Priya"/>
    <d v="2024-11-25T00:00:00"/>
    <d v="2024-12-01T00:00:00"/>
    <n v="241059"/>
    <s v="None"/>
    <x v="0"/>
    <s v="Coimbatore"/>
    <s v="Recovered"/>
    <n v="4"/>
  </r>
  <r>
    <s v="P0108"/>
    <n v="45"/>
    <s v="Male"/>
    <s v="Cancer"/>
    <s v="Oncology"/>
    <s v="Dr. Meena"/>
    <d v="2024-02-14T00:00:00"/>
    <d v="2024-03-04T00:00:00"/>
    <n v="79031"/>
    <s v="Private"/>
    <x v="3"/>
    <s v="Madurai"/>
    <s v="Follow-up"/>
    <n v="3"/>
  </r>
  <r>
    <s v="P0109"/>
    <n v="19"/>
    <s v="Male"/>
    <s v="Infection"/>
    <s v="Pulmonology"/>
    <s v="Dr. Priya"/>
    <d v="2024-09-12T00:00:00"/>
    <d v="2024-09-30T00:00:00"/>
    <n v="144750"/>
    <s v="Corporate"/>
    <x v="2"/>
    <s v="Coimbatore"/>
    <s v="Follow-up"/>
    <n v="4"/>
  </r>
  <r>
    <s v="P0110"/>
    <n v="42"/>
    <s v="Male"/>
    <s v="Diabetes"/>
    <s v="Pulmonology"/>
    <s v="Dr. Kumar"/>
    <d v="2024-05-12T00:00:00"/>
    <d v="2024-05-30T00:00:00"/>
    <n v="114721"/>
    <s v="None"/>
    <x v="1"/>
    <s v="Coimbatore"/>
    <s v="Follow-up"/>
    <n v="1"/>
  </r>
  <r>
    <s v="P0111"/>
    <n v="35"/>
    <s v="Male"/>
    <s v="Orthopedic"/>
    <s v="Cardiology"/>
    <s v="Dr. Arun"/>
    <d v="2024-12-07T00:00:00"/>
    <d v="2024-12-27T00:00:00"/>
    <n v="124328"/>
    <s v="Government"/>
    <x v="1"/>
    <s v="Coimbatore"/>
    <s v="Follow-up"/>
    <n v="5"/>
  </r>
  <r>
    <s v="P0112"/>
    <n v="83"/>
    <s v="Female"/>
    <s v="Respiratory"/>
    <s v="Neurology"/>
    <s v="Dr. Priya"/>
    <d v="2024-04-12T00:00:00"/>
    <d v="2024-04-25T00:00:00"/>
    <n v="68052"/>
    <s v="Government"/>
    <x v="0"/>
    <s v="Chennai"/>
    <s v="Recovered"/>
    <n v="5"/>
  </r>
  <r>
    <s v="P0113"/>
    <n v="35"/>
    <s v="Male"/>
    <s v="Cancer"/>
    <s v="Orthopedics"/>
    <s v="Dr. Priya"/>
    <d v="2024-07-27T00:00:00"/>
    <d v="2024-08-01T00:00:00"/>
    <n v="105788"/>
    <s v="Government"/>
    <x v="3"/>
    <s v="Chennai"/>
    <s v="Under Treatment"/>
    <n v="4"/>
  </r>
  <r>
    <s v="P0114"/>
    <n v="83"/>
    <s v="Female"/>
    <s v="Respiratory"/>
    <s v="Cardiology"/>
    <s v="Dr. Priya"/>
    <d v="2024-01-07T00:00:00"/>
    <d v="2024-01-24T00:00:00"/>
    <n v="118538"/>
    <s v="Government"/>
    <x v="1"/>
    <s v="Coimbatore"/>
    <s v="Follow-up"/>
    <n v="2"/>
  </r>
  <r>
    <s v="P0115"/>
    <n v="64"/>
    <s v="Male"/>
    <s v="Diabetes"/>
    <s v="Oncology"/>
    <s v="Dr. Kumar"/>
    <d v="2025-12-23T00:00:00"/>
    <d v="2026-01-07T00:00:00"/>
    <n v="225888"/>
    <s v="Private"/>
    <x v="0"/>
    <s v="Chennai"/>
    <s v="Follow-up"/>
    <n v="4"/>
  </r>
  <r>
    <s v="P0116"/>
    <n v="57"/>
    <s v="Male"/>
    <s v="Infection"/>
    <s v="Pulmonology"/>
    <s v="Dr. Priya"/>
    <d v="2025-01-04T00:00:00"/>
    <d v="2025-01-23T00:00:00"/>
    <n v="167623"/>
    <s v="None"/>
    <x v="3"/>
    <s v="Coimbatore"/>
    <s v="Recovered"/>
    <n v="5"/>
  </r>
  <r>
    <s v="P0117"/>
    <n v="37"/>
    <s v="Male"/>
    <s v="Infection"/>
    <s v="Orthopedics"/>
    <s v="Dr. Raj"/>
    <d v="2024-05-06T00:00:00"/>
    <d v="2024-05-22T00:00:00"/>
    <n v="178305"/>
    <s v="None"/>
    <x v="1"/>
    <s v="Chennai"/>
    <s v="Follow-up"/>
    <n v="5"/>
  </r>
  <r>
    <s v="P0118"/>
    <n v="26"/>
    <s v="Female"/>
    <s v="Diabetes"/>
    <s v="General Medicine"/>
    <s v="Dr. Priya"/>
    <d v="2025-05-06T00:00:00"/>
    <d v="2025-05-18T00:00:00"/>
    <n v="20173"/>
    <s v="Corporate"/>
    <x v="3"/>
    <s v="Madurai"/>
    <s v="Under Treatment"/>
    <n v="1"/>
  </r>
  <r>
    <s v="P0119"/>
    <n v="51"/>
    <s v="Female"/>
    <s v="Orthopedic"/>
    <s v="Orthopedics"/>
    <s v="Dr. Raj"/>
    <d v="2025-09-01T00:00:00"/>
    <d v="2025-09-21T00:00:00"/>
    <n v="226462"/>
    <s v="Private"/>
    <x v="2"/>
    <s v="Bangalore"/>
    <s v="Follow-up"/>
    <n v="2"/>
  </r>
  <r>
    <s v="P0120"/>
    <n v="26"/>
    <s v="Male"/>
    <s v="Cancer"/>
    <s v="Pulmonology"/>
    <s v="Dr. Arun"/>
    <d v="2025-02-20T00:00:00"/>
    <d v="2025-02-21T00:00:00"/>
    <n v="234747"/>
    <s v="Government"/>
    <x v="0"/>
    <s v="Coimbatore"/>
    <s v="Follow-up"/>
    <n v="2"/>
  </r>
  <r>
    <s v="P0121"/>
    <n v="34"/>
    <s v="Female"/>
    <s v="Cardiac"/>
    <s v="Orthopedics"/>
    <s v="Dr. Priya"/>
    <d v="2025-05-27T00:00:00"/>
    <d v="2025-06-04T00:00:00"/>
    <n v="146520"/>
    <s v="Government"/>
    <x v="2"/>
    <s v="Hyderabad"/>
    <s v="Under Treatment"/>
    <n v="2"/>
  </r>
  <r>
    <s v="P0122"/>
    <n v="49"/>
    <s v="Female"/>
    <s v="Respiratory"/>
    <s v="General Medicine"/>
    <s v="Dr. Priya"/>
    <d v="2024-07-24T00:00:00"/>
    <d v="2024-07-28T00:00:00"/>
    <n v="70059"/>
    <s v="Corporate"/>
    <x v="3"/>
    <s v="Bangalore"/>
    <s v="Under Treatment"/>
    <n v="3"/>
  </r>
  <r>
    <s v="P0123"/>
    <n v="38"/>
    <s v="Female"/>
    <s v="Orthopedic"/>
    <s v="Orthopedics"/>
    <s v="Dr. Priya"/>
    <d v="2024-10-30T00:00:00"/>
    <d v="2024-11-16T00:00:00"/>
    <n v="220726"/>
    <s v="Private"/>
    <x v="2"/>
    <s v="Chennai"/>
    <s v="Under Treatment"/>
    <n v="1"/>
  </r>
  <r>
    <s v="P0124"/>
    <n v="26"/>
    <s v="Female"/>
    <s v="Diabetes"/>
    <s v="Neurology"/>
    <s v="Dr. Kumar"/>
    <d v="2024-09-23T00:00:00"/>
    <d v="2024-10-01T00:00:00"/>
    <n v="144314"/>
    <s v="None"/>
    <x v="3"/>
    <s v="Bangalore"/>
    <s v="Recovered"/>
    <n v="1"/>
  </r>
  <r>
    <s v="P0125"/>
    <n v="37"/>
    <s v="Male"/>
    <s v="Cancer"/>
    <s v="General Medicine"/>
    <s v="Dr. Meena"/>
    <d v="2025-03-30T00:00:00"/>
    <d v="2025-04-14T00:00:00"/>
    <n v="10823"/>
    <s v="Private"/>
    <x v="0"/>
    <s v="Hyderabad"/>
    <s v="Under Treatment"/>
    <n v="1"/>
  </r>
  <r>
    <s v="P0126"/>
    <n v="74"/>
    <s v="Male"/>
    <s v="Neurological"/>
    <s v="Orthopedics"/>
    <s v="Dr. Kumar"/>
    <d v="2025-08-09T00:00:00"/>
    <d v="2025-08-22T00:00:00"/>
    <n v="62581"/>
    <s v="Private"/>
    <x v="0"/>
    <s v="Madurai"/>
    <s v="Under Treatment"/>
    <n v="1"/>
  </r>
  <r>
    <s v="P0127"/>
    <n v="85"/>
    <s v="Female"/>
    <s v="Diabetes"/>
    <s v="Orthopedics"/>
    <s v="Dr. Raj"/>
    <d v="2025-09-02T00:00:00"/>
    <d v="2025-09-09T00:00:00"/>
    <n v="92883"/>
    <s v="Government"/>
    <x v="1"/>
    <s v="Chennai"/>
    <s v="Follow-up"/>
    <n v="5"/>
  </r>
  <r>
    <s v="P0128"/>
    <n v="54"/>
    <s v="Male"/>
    <s v="Respiratory"/>
    <s v="Orthopedics"/>
    <s v="Dr. Kumar"/>
    <d v="2024-07-26T00:00:00"/>
    <d v="2024-08-13T00:00:00"/>
    <n v="213323"/>
    <s v="Government"/>
    <x v="2"/>
    <s v="Madurai"/>
    <s v="Under Treatment"/>
    <n v="3"/>
  </r>
  <r>
    <s v="P0129"/>
    <n v="57"/>
    <s v="Male"/>
    <s v="Cancer"/>
    <s v="Cardiology"/>
    <s v="Dr. Priya"/>
    <d v="2025-03-01T00:00:00"/>
    <d v="2025-03-08T00:00:00"/>
    <n v="240384"/>
    <s v="Corporate"/>
    <x v="3"/>
    <s v="Madurai"/>
    <s v="Recovered"/>
    <n v="4"/>
  </r>
  <r>
    <s v="P0130"/>
    <n v="29"/>
    <s v="Female"/>
    <s v="Infection"/>
    <s v="Orthopedics"/>
    <s v="Dr. Priya"/>
    <d v="2025-05-27T00:00:00"/>
    <d v="2025-06-16T00:00:00"/>
    <n v="112357"/>
    <s v="None"/>
    <x v="3"/>
    <s v="Hyderabad"/>
    <s v="Recovered"/>
    <n v="2"/>
  </r>
  <r>
    <s v="P0131"/>
    <n v="40"/>
    <s v="Male"/>
    <s v="Neurological"/>
    <s v="General Medicine"/>
    <s v="Dr. Raj"/>
    <d v="2025-03-11T00:00:00"/>
    <d v="2025-03-22T00:00:00"/>
    <n v="163416"/>
    <s v="Government"/>
    <x v="3"/>
    <s v="Chennai"/>
    <s v="Follow-up"/>
    <n v="3"/>
  </r>
  <r>
    <s v="P0132"/>
    <n v="25"/>
    <s v="Female"/>
    <s v="Infection"/>
    <s v="Pulmonology"/>
    <s v="Dr. Kumar"/>
    <d v="2024-10-01T00:00:00"/>
    <d v="2024-10-17T00:00:00"/>
    <n v="30976"/>
    <s v="Corporate"/>
    <x v="3"/>
    <s v="Madurai"/>
    <s v="Under Treatment"/>
    <n v="5"/>
  </r>
  <r>
    <s v="P0133"/>
    <n v="20"/>
    <s v="Male"/>
    <s v="Cardiac"/>
    <s v="Pulmonology"/>
    <s v="Dr. Kumar"/>
    <d v="2025-02-27T00:00:00"/>
    <d v="2025-03-15T00:00:00"/>
    <n v="129822"/>
    <s v="Private"/>
    <x v="0"/>
    <s v="Coimbatore"/>
    <s v="Follow-up"/>
    <n v="3"/>
  </r>
  <r>
    <s v="P0134"/>
    <n v="69"/>
    <s v="Male"/>
    <s v="Respiratory"/>
    <s v="Orthopedics"/>
    <s v="Dr. Meena"/>
    <d v="2025-08-14T00:00:00"/>
    <d v="2025-08-22T00:00:00"/>
    <n v="90240"/>
    <s v="Government"/>
    <x v="0"/>
    <s v="Madurai"/>
    <s v="Follow-up"/>
    <n v="4"/>
  </r>
  <r>
    <s v="P0135"/>
    <n v="80"/>
    <s v="Female"/>
    <s v="Cardiac"/>
    <s v="Neurology"/>
    <s v="Dr. Kumar"/>
    <d v="2025-06-11T00:00:00"/>
    <d v="2025-06-24T00:00:00"/>
    <n v="197262"/>
    <s v="Government"/>
    <x v="0"/>
    <s v="Chennai"/>
    <s v="Follow-up"/>
    <n v="1"/>
  </r>
  <r>
    <s v="P0136"/>
    <n v="44"/>
    <s v="Male"/>
    <s v="Diabetes"/>
    <s v="Oncology"/>
    <s v="Dr. Priya"/>
    <d v="2025-10-11T00:00:00"/>
    <d v="2025-10-26T00:00:00"/>
    <n v="172769"/>
    <s v="Corporate"/>
    <x v="2"/>
    <s v="Madurai"/>
    <s v="Follow-up"/>
    <n v="5"/>
  </r>
  <r>
    <s v="P0137"/>
    <n v="66"/>
    <s v="Male"/>
    <s v="Diabetes"/>
    <s v="Neurology"/>
    <s v="Dr. Priya"/>
    <d v="2025-12-13T00:00:00"/>
    <d v="2025-12-28T00:00:00"/>
    <n v="88470"/>
    <s v="Private"/>
    <x v="0"/>
    <s v="Madurai"/>
    <s v="Recovered"/>
    <n v="2"/>
  </r>
  <r>
    <s v="P0138"/>
    <n v="66"/>
    <s v="Male"/>
    <s v="Respiratory"/>
    <s v="Oncology"/>
    <s v="Dr. Meena"/>
    <d v="2024-12-03T00:00:00"/>
    <d v="2024-12-22T00:00:00"/>
    <n v="19472"/>
    <s v="Private"/>
    <x v="2"/>
    <s v="Bangalore"/>
    <s v="Follow-up"/>
    <n v="4"/>
  </r>
  <r>
    <s v="P0139"/>
    <n v="23"/>
    <s v="Male"/>
    <s v="Neurological"/>
    <s v="Oncology"/>
    <s v="Dr. Raj"/>
    <d v="2025-09-22T00:00:00"/>
    <d v="2025-10-07T00:00:00"/>
    <n v="54045"/>
    <s v="Private"/>
    <x v="3"/>
    <s v="Chennai"/>
    <s v="Recovered"/>
    <n v="5"/>
  </r>
  <r>
    <s v="P0140"/>
    <n v="85"/>
    <s v="Female"/>
    <s v="Diabetes"/>
    <s v="Pulmonology"/>
    <s v="Dr. Kumar"/>
    <d v="2025-01-24T00:00:00"/>
    <d v="2025-02-02T00:00:00"/>
    <n v="159024"/>
    <s v="None"/>
    <x v="0"/>
    <s v="Hyderabad"/>
    <s v="Recovered"/>
    <n v="1"/>
  </r>
  <r>
    <s v="P0141"/>
    <n v="78"/>
    <s v="Male"/>
    <s v="Cancer"/>
    <s v="Cardiology"/>
    <s v="Dr. Arun"/>
    <d v="2024-06-22T00:00:00"/>
    <d v="2024-07-09T00:00:00"/>
    <n v="220263"/>
    <s v="Government"/>
    <x v="1"/>
    <s v="Madurai"/>
    <s v="Under Treatment"/>
    <n v="1"/>
  </r>
  <r>
    <s v="P0142"/>
    <n v="18"/>
    <s v="Male"/>
    <s v="Infection"/>
    <s v="General Medicine"/>
    <s v="Dr. Kumar"/>
    <d v="2025-09-19T00:00:00"/>
    <d v="2025-09-23T00:00:00"/>
    <n v="83785"/>
    <s v="Private"/>
    <x v="0"/>
    <s v="Coimbatore"/>
    <s v="Follow-up"/>
    <n v="4"/>
  </r>
  <r>
    <s v="P0143"/>
    <n v="49"/>
    <s v="Male"/>
    <s v="Cardiac"/>
    <s v="Cardiology"/>
    <s v="Dr. Priya"/>
    <d v="2024-06-26T00:00:00"/>
    <d v="2024-06-28T00:00:00"/>
    <n v="236470"/>
    <s v="None"/>
    <x v="0"/>
    <s v="Madurai"/>
    <s v="Follow-up"/>
    <n v="5"/>
  </r>
  <r>
    <s v="P0144"/>
    <n v="26"/>
    <s v="Male"/>
    <s v="Respiratory"/>
    <s v="Pulmonology"/>
    <s v="Dr. Meena"/>
    <d v="2024-08-25T00:00:00"/>
    <d v="2024-08-26T00:00:00"/>
    <n v="63168"/>
    <s v="Government"/>
    <x v="2"/>
    <s v="Coimbatore"/>
    <s v="Recovered"/>
    <n v="1"/>
  </r>
  <r>
    <s v="P0145"/>
    <n v="71"/>
    <s v="Female"/>
    <s v="Respiratory"/>
    <s v="Pulmonology"/>
    <s v="Dr. Kumar"/>
    <d v="2024-07-21T00:00:00"/>
    <d v="2024-08-04T00:00:00"/>
    <n v="115186"/>
    <s v="Corporate"/>
    <x v="2"/>
    <s v="Chennai"/>
    <s v="Under Treatment"/>
    <n v="1"/>
  </r>
  <r>
    <s v="P0146"/>
    <n v="40"/>
    <s v="Female"/>
    <s v="Orthopedic"/>
    <s v="Pulmonology"/>
    <s v="Dr. Arun"/>
    <d v="2024-07-29T00:00:00"/>
    <d v="2024-08-02T00:00:00"/>
    <n v="72085"/>
    <s v="Corporate"/>
    <x v="1"/>
    <s v="Madurai"/>
    <s v="Under Treatment"/>
    <n v="3"/>
  </r>
  <r>
    <s v="P0147"/>
    <n v="83"/>
    <s v="Male"/>
    <s v="Cardiac"/>
    <s v="Pulmonology"/>
    <s v="Dr. Kumar"/>
    <d v="2025-12-29T00:00:00"/>
    <d v="2026-01-17T00:00:00"/>
    <n v="56010"/>
    <s v="None"/>
    <x v="0"/>
    <s v="Madurai"/>
    <s v="Under Treatment"/>
    <n v="2"/>
  </r>
  <r>
    <s v="P0148"/>
    <n v="76"/>
    <s v="Female"/>
    <s v="Cancer"/>
    <s v="Orthopedics"/>
    <s v="Dr. Meena"/>
    <d v="2025-04-29T00:00:00"/>
    <d v="2025-05-05T00:00:00"/>
    <n v="118369"/>
    <s v="Government"/>
    <x v="2"/>
    <s v="Hyderabad"/>
    <s v="Follow-up"/>
    <n v="1"/>
  </r>
  <r>
    <s v="P0149"/>
    <n v="42"/>
    <s v="Male"/>
    <s v="Infection"/>
    <s v="General Medicine"/>
    <s v="Dr. Priya"/>
    <d v="2024-06-17T00:00:00"/>
    <d v="2024-07-03T00:00:00"/>
    <n v="68757"/>
    <s v="None"/>
    <x v="0"/>
    <s v="Coimbatore"/>
    <s v="Under Treatment"/>
    <n v="5"/>
  </r>
  <r>
    <s v="P0150"/>
    <n v="50"/>
    <s v="Female"/>
    <s v="Diabetes"/>
    <s v="Pulmonology"/>
    <s v="Dr. Priya"/>
    <d v="2024-09-13T00:00:00"/>
    <d v="2024-09-24T00:00:00"/>
    <n v="46071"/>
    <s v="Government"/>
    <x v="2"/>
    <s v="Madurai"/>
    <s v="Recovered"/>
    <n v="3"/>
  </r>
  <r>
    <s v="P0151"/>
    <n v="37"/>
    <s v="Female"/>
    <s v="Diabetes"/>
    <s v="Cardiology"/>
    <s v="Dr. Raj"/>
    <d v="2024-08-10T00:00:00"/>
    <d v="2024-08-23T00:00:00"/>
    <n v="209303"/>
    <s v="Private"/>
    <x v="1"/>
    <s v="Hyderabad"/>
    <s v="Under Treatment"/>
    <n v="4"/>
  </r>
  <r>
    <s v="P0152"/>
    <n v="48"/>
    <s v="Female"/>
    <s v="Neurological"/>
    <s v="Neurology"/>
    <s v="Dr. Priya"/>
    <d v="2024-04-12T00:00:00"/>
    <d v="2024-04-18T00:00:00"/>
    <n v="22854"/>
    <s v="Government"/>
    <x v="2"/>
    <s v="Madurai"/>
    <s v="Follow-up"/>
    <n v="2"/>
  </r>
  <r>
    <s v="P0153"/>
    <n v="33"/>
    <s v="Female"/>
    <s v="Orthopedic"/>
    <s v="Neurology"/>
    <s v="Dr. Meena"/>
    <d v="2024-03-11T00:00:00"/>
    <d v="2024-03-16T00:00:00"/>
    <n v="105504"/>
    <s v="Government"/>
    <x v="1"/>
    <s v="Coimbatore"/>
    <s v="Follow-up"/>
    <n v="1"/>
  </r>
  <r>
    <s v="P0154"/>
    <n v="37"/>
    <s v="Male"/>
    <s v="Cancer"/>
    <s v="Orthopedics"/>
    <s v="Dr. Arun"/>
    <d v="2025-06-13T00:00:00"/>
    <d v="2025-07-02T00:00:00"/>
    <n v="77793"/>
    <s v="Government"/>
    <x v="1"/>
    <s v="Chennai"/>
    <s v="Recovered"/>
    <n v="1"/>
  </r>
  <r>
    <s v="P0155"/>
    <n v="69"/>
    <s v="Male"/>
    <s v="Infection"/>
    <s v="General Medicine"/>
    <s v="Dr. Arun"/>
    <d v="2025-12-13T00:00:00"/>
    <d v="2025-12-20T00:00:00"/>
    <n v="139349"/>
    <s v="Private"/>
    <x v="2"/>
    <s v="Coimbatore"/>
    <s v="Recovered"/>
    <n v="5"/>
  </r>
  <r>
    <s v="P0156"/>
    <n v="37"/>
    <s v="Male"/>
    <s v="Respiratory"/>
    <s v="General Medicine"/>
    <s v="Dr. Meena"/>
    <d v="2024-04-21T00:00:00"/>
    <d v="2024-04-25T00:00:00"/>
    <n v="80456"/>
    <s v="None"/>
    <x v="2"/>
    <s v="Chennai"/>
    <s v="Follow-up"/>
    <n v="5"/>
  </r>
  <r>
    <s v="P0157"/>
    <n v="60"/>
    <s v="Female"/>
    <s v="Infection"/>
    <s v="Pulmonology"/>
    <s v="Dr. Meena"/>
    <d v="2024-10-27T00:00:00"/>
    <d v="2024-11-07T00:00:00"/>
    <n v="170508"/>
    <s v="None"/>
    <x v="3"/>
    <s v="Madurai"/>
    <s v="Follow-up"/>
    <n v="1"/>
  </r>
  <r>
    <s v="P0158"/>
    <n v="56"/>
    <s v="Male"/>
    <s v="Diabetes"/>
    <s v="Oncology"/>
    <s v="Dr. Kumar"/>
    <d v="2025-03-11T00:00:00"/>
    <d v="2025-03-13T00:00:00"/>
    <n v="150058"/>
    <s v="Private"/>
    <x v="1"/>
    <s v="Bangalore"/>
    <s v="Follow-up"/>
    <n v="2"/>
  </r>
  <r>
    <s v="P0159"/>
    <n v="80"/>
    <s v="Male"/>
    <s v="Neurological"/>
    <s v="Pulmonology"/>
    <s v="Dr. Arun"/>
    <d v="2024-08-30T00:00:00"/>
    <d v="2024-08-31T00:00:00"/>
    <n v="133382"/>
    <s v="Government"/>
    <x v="2"/>
    <s v="Chennai"/>
    <s v="Under Treatment"/>
    <n v="2"/>
  </r>
  <r>
    <s v="P0160"/>
    <n v="23"/>
    <s v="Male"/>
    <s v="Cancer"/>
    <s v="Neurology"/>
    <s v="Dr. Arun"/>
    <d v="2024-01-17T00:00:00"/>
    <d v="2024-01-23T00:00:00"/>
    <n v="195577"/>
    <s v="Government"/>
    <x v="0"/>
    <s v="Madurai"/>
    <s v="Follow-up"/>
    <n v="5"/>
  </r>
  <r>
    <s v="P0161"/>
    <n v="70"/>
    <s v="Male"/>
    <s v="Infection"/>
    <s v="Neurology"/>
    <s v="Dr. Meena"/>
    <d v="2025-04-16T00:00:00"/>
    <d v="2025-04-17T00:00:00"/>
    <n v="69573"/>
    <s v="Private"/>
    <x v="1"/>
    <s v="Bangalore"/>
    <s v="Under Treatment"/>
    <n v="1"/>
  </r>
  <r>
    <s v="P0162"/>
    <n v="75"/>
    <s v="Female"/>
    <s v="Cancer"/>
    <s v="Orthopedics"/>
    <s v="Dr. Meena"/>
    <d v="2025-12-19T00:00:00"/>
    <d v="2026-01-03T00:00:00"/>
    <n v="57959"/>
    <s v="Corporate"/>
    <x v="2"/>
    <s v="Hyderabad"/>
    <s v="Under Treatment"/>
    <n v="3"/>
  </r>
  <r>
    <s v="P0163"/>
    <n v="33"/>
    <s v="Female"/>
    <s v="Neurological"/>
    <s v="Neurology"/>
    <s v="Dr. Meena"/>
    <d v="2025-10-08T00:00:00"/>
    <d v="2025-10-22T00:00:00"/>
    <n v="8435"/>
    <s v="None"/>
    <x v="0"/>
    <s v="Coimbatore"/>
    <s v="Follow-up"/>
    <n v="1"/>
  </r>
  <r>
    <s v="P0164"/>
    <n v="52"/>
    <s v="Male"/>
    <s v="Orthopedic"/>
    <s v="Orthopedics"/>
    <s v="Dr. Raj"/>
    <d v="2024-09-03T00:00:00"/>
    <d v="2024-09-09T00:00:00"/>
    <n v="53147"/>
    <s v="Corporate"/>
    <x v="0"/>
    <s v="Hyderabad"/>
    <s v="Recovered"/>
    <n v="1"/>
  </r>
  <r>
    <s v="P0165"/>
    <n v="69"/>
    <s v="Female"/>
    <s v="Infection"/>
    <s v="Pulmonology"/>
    <s v="Dr. Raj"/>
    <d v="2025-11-26T00:00:00"/>
    <d v="2025-12-02T00:00:00"/>
    <n v="46295"/>
    <s v="Private"/>
    <x v="1"/>
    <s v="Bangalore"/>
    <s v="Follow-up"/>
    <n v="5"/>
  </r>
  <r>
    <s v="P0166"/>
    <n v="34"/>
    <s v="Female"/>
    <s v="Cardiac"/>
    <s v="General Medicine"/>
    <s v="Dr. Priya"/>
    <d v="2025-05-14T00:00:00"/>
    <d v="2025-05-16T00:00:00"/>
    <n v="233010"/>
    <s v="Corporate"/>
    <x v="3"/>
    <s v="Madurai"/>
    <s v="Recovered"/>
    <n v="5"/>
  </r>
  <r>
    <s v="P0167"/>
    <n v="79"/>
    <s v="Male"/>
    <s v="Orthopedic"/>
    <s v="Neurology"/>
    <s v="Dr. Priya"/>
    <d v="2025-01-25T00:00:00"/>
    <d v="2025-02-12T00:00:00"/>
    <n v="221369"/>
    <s v="None"/>
    <x v="3"/>
    <s v="Bangalore"/>
    <s v="Recovered"/>
    <n v="5"/>
  </r>
  <r>
    <s v="P0168"/>
    <n v="71"/>
    <s v="Male"/>
    <s v="Diabetes"/>
    <s v="Cardiology"/>
    <s v="Dr. Arun"/>
    <d v="2024-12-31T00:00:00"/>
    <d v="2025-01-07T00:00:00"/>
    <n v="156452"/>
    <s v="Corporate"/>
    <x v="2"/>
    <s v="Madurai"/>
    <s v="Recovered"/>
    <n v="4"/>
  </r>
  <r>
    <s v="P0169"/>
    <n v="40"/>
    <s v="Male"/>
    <s v="Orthopedic"/>
    <s v="General Medicine"/>
    <s v="Dr. Arun"/>
    <d v="2025-04-25T00:00:00"/>
    <d v="2025-05-07T00:00:00"/>
    <n v="197059"/>
    <s v="None"/>
    <x v="2"/>
    <s v="Chennai"/>
    <s v="Follow-up"/>
    <n v="5"/>
  </r>
  <r>
    <s v="P0170"/>
    <n v="49"/>
    <s v="Male"/>
    <s v="Respiratory"/>
    <s v="Cardiology"/>
    <s v="Dr. Priya"/>
    <d v="2025-06-22T00:00:00"/>
    <d v="2025-07-08T00:00:00"/>
    <n v="156278"/>
    <s v="Private"/>
    <x v="3"/>
    <s v="Chennai"/>
    <s v="Under Treatment"/>
    <n v="4"/>
  </r>
  <r>
    <s v="P0171"/>
    <n v="63"/>
    <s v="Male"/>
    <s v="Cancer"/>
    <s v="Oncology"/>
    <s v="Dr. Kumar"/>
    <d v="2024-08-13T00:00:00"/>
    <d v="2024-08-28T00:00:00"/>
    <n v="137111"/>
    <s v="None"/>
    <x v="1"/>
    <s v="Chennai"/>
    <s v="Recovered"/>
    <n v="4"/>
  </r>
  <r>
    <s v="P0172"/>
    <n v="23"/>
    <s v="Male"/>
    <s v="Cardiac"/>
    <s v="General Medicine"/>
    <s v="Dr. Arun"/>
    <d v="2025-03-29T00:00:00"/>
    <d v="2025-04-04T00:00:00"/>
    <n v="101754"/>
    <s v="Private"/>
    <x v="2"/>
    <s v="Madurai"/>
    <s v="Follow-up"/>
    <n v="5"/>
  </r>
  <r>
    <s v="P0173"/>
    <n v="65"/>
    <s v="Male"/>
    <s v="Neurological"/>
    <s v="Orthopedics"/>
    <s v="Dr. Raj"/>
    <d v="2024-10-17T00:00:00"/>
    <d v="2024-10-19T00:00:00"/>
    <n v="159749"/>
    <s v="None"/>
    <x v="0"/>
    <s v="Hyderabad"/>
    <s v="Under Treatment"/>
    <n v="4"/>
  </r>
  <r>
    <s v="P0174"/>
    <n v="74"/>
    <s v="Female"/>
    <s v="Cardiac"/>
    <s v="Neurology"/>
    <s v="Dr. Kumar"/>
    <d v="2025-06-13T00:00:00"/>
    <d v="2025-06-15T00:00:00"/>
    <n v="142859"/>
    <s v="None"/>
    <x v="2"/>
    <s v="Chennai"/>
    <s v="Follow-up"/>
    <n v="3"/>
  </r>
  <r>
    <s v="P0175"/>
    <n v="27"/>
    <s v="Female"/>
    <s v="Infection"/>
    <s v="Orthopedics"/>
    <s v="Dr. Kumar"/>
    <d v="2025-10-24T00:00:00"/>
    <d v="2025-10-26T00:00:00"/>
    <n v="79866"/>
    <s v="Corporate"/>
    <x v="0"/>
    <s v="Chennai"/>
    <s v="Under Treatment"/>
    <n v="4"/>
  </r>
  <r>
    <s v="P0176"/>
    <n v="57"/>
    <s v="Male"/>
    <s v="Orthopedic"/>
    <s v="Orthopedics"/>
    <s v="Dr. Arun"/>
    <d v="2024-05-27T00:00:00"/>
    <d v="2024-05-28T00:00:00"/>
    <n v="65118"/>
    <s v="Private"/>
    <x v="0"/>
    <s v="Chennai"/>
    <s v="Under Treatment"/>
    <n v="1"/>
  </r>
  <r>
    <s v="P0177"/>
    <n v="19"/>
    <s v="Male"/>
    <s v="Respiratory"/>
    <s v="Neurology"/>
    <s v="Dr. Priya"/>
    <d v="2025-06-12T00:00:00"/>
    <d v="2025-06-19T00:00:00"/>
    <n v="49466"/>
    <s v="Private"/>
    <x v="1"/>
    <s v="Madurai"/>
    <s v="Under Treatment"/>
    <n v="5"/>
  </r>
  <r>
    <s v="P0178"/>
    <n v="39"/>
    <s v="Male"/>
    <s v="Cancer"/>
    <s v="Oncology"/>
    <s v="Dr. Arun"/>
    <d v="2024-02-13T00:00:00"/>
    <d v="2024-02-24T00:00:00"/>
    <n v="226892"/>
    <s v="Corporate"/>
    <x v="2"/>
    <s v="Madurai"/>
    <s v="Follow-up"/>
    <n v="3"/>
  </r>
  <r>
    <s v="P0179"/>
    <n v="81"/>
    <s v="Male"/>
    <s v="Infection"/>
    <s v="Cardiology"/>
    <s v="Dr. Meena"/>
    <d v="2025-01-09T00:00:00"/>
    <d v="2025-01-23T00:00:00"/>
    <n v="124835"/>
    <s v="Government"/>
    <x v="2"/>
    <s v="Hyderabad"/>
    <s v="Under Treatment"/>
    <n v="5"/>
  </r>
  <r>
    <s v="P0180"/>
    <n v="45"/>
    <s v="Female"/>
    <s v="Neurological"/>
    <s v="General Medicine"/>
    <s v="Dr. Meena"/>
    <d v="2024-05-08T00:00:00"/>
    <d v="2024-05-26T00:00:00"/>
    <n v="113054"/>
    <s v="Government"/>
    <x v="1"/>
    <s v="Chennai"/>
    <s v="Follow-up"/>
    <n v="2"/>
  </r>
  <r>
    <s v="P0181"/>
    <n v="39"/>
    <s v="Female"/>
    <s v="Respiratory"/>
    <s v="Oncology"/>
    <s v="Dr. Raj"/>
    <d v="2025-04-06T00:00:00"/>
    <d v="2025-04-13T00:00:00"/>
    <n v="85670"/>
    <s v="Corporate"/>
    <x v="1"/>
    <s v="Madurai"/>
    <s v="Follow-up"/>
    <n v="5"/>
  </r>
  <r>
    <s v="P0182"/>
    <n v="61"/>
    <s v="Male"/>
    <s v="Orthopedic"/>
    <s v="Orthopedics"/>
    <s v="Dr. Priya"/>
    <d v="2025-09-04T00:00:00"/>
    <d v="2025-09-23T00:00:00"/>
    <n v="165807"/>
    <s v="Government"/>
    <x v="3"/>
    <s v="Chennai"/>
    <s v="Under Treatment"/>
    <n v="5"/>
  </r>
  <r>
    <s v="P0183"/>
    <n v="64"/>
    <s v="Male"/>
    <s v="Diabetes"/>
    <s v="Orthopedics"/>
    <s v="Dr. Raj"/>
    <d v="2025-04-29T00:00:00"/>
    <d v="2025-05-06T00:00:00"/>
    <n v="48096"/>
    <s v="Private"/>
    <x v="2"/>
    <s v="Madurai"/>
    <s v="Follow-up"/>
    <n v="3"/>
  </r>
  <r>
    <s v="P0184"/>
    <n v="19"/>
    <s v="Female"/>
    <s v="Infection"/>
    <s v="Neurology"/>
    <s v="Dr. Meena"/>
    <d v="2025-08-08T00:00:00"/>
    <d v="2025-08-23T00:00:00"/>
    <n v="225339"/>
    <s v="None"/>
    <x v="2"/>
    <s v="Coimbatore"/>
    <s v="Under Treatment"/>
    <n v="1"/>
  </r>
  <r>
    <s v="P0185"/>
    <n v="49"/>
    <s v="Female"/>
    <s v="Infection"/>
    <s v="Oncology"/>
    <s v="Dr. Raj"/>
    <d v="2024-06-03T00:00:00"/>
    <d v="2024-06-17T00:00:00"/>
    <n v="152999"/>
    <s v="Private"/>
    <x v="1"/>
    <s v="Coimbatore"/>
    <s v="Recovered"/>
    <n v="4"/>
  </r>
  <r>
    <s v="P0186"/>
    <n v="37"/>
    <s v="Female"/>
    <s v="Cardiac"/>
    <s v="Oncology"/>
    <s v="Dr. Arun"/>
    <d v="2025-05-24T00:00:00"/>
    <d v="2025-06-02T00:00:00"/>
    <n v="177657"/>
    <s v="None"/>
    <x v="0"/>
    <s v="Hyderabad"/>
    <s v="Recovered"/>
    <n v="3"/>
  </r>
  <r>
    <s v="P0187"/>
    <n v="21"/>
    <s v="Male"/>
    <s v="Respiratory"/>
    <s v="Oncology"/>
    <s v="Dr. Arun"/>
    <d v="2025-04-19T00:00:00"/>
    <d v="2025-05-09T00:00:00"/>
    <n v="117612"/>
    <s v="Corporate"/>
    <x v="1"/>
    <s v="Chennai"/>
    <s v="Recovered"/>
    <n v="3"/>
  </r>
  <r>
    <s v="P0188"/>
    <n v="39"/>
    <s v="Female"/>
    <s v="Orthopedic"/>
    <s v="General Medicine"/>
    <s v="Dr. Priya"/>
    <d v="2025-02-16T00:00:00"/>
    <d v="2025-02-28T00:00:00"/>
    <n v="64512"/>
    <s v="Private"/>
    <x v="3"/>
    <s v="Chennai"/>
    <s v="Recovered"/>
    <n v="5"/>
  </r>
  <r>
    <s v="P0189"/>
    <n v="46"/>
    <s v="Male"/>
    <s v="Cancer"/>
    <s v="General Medicine"/>
    <s v="Dr. Kumar"/>
    <d v="2024-04-23T00:00:00"/>
    <d v="2024-05-08T00:00:00"/>
    <n v="47747"/>
    <s v="Corporate"/>
    <x v="3"/>
    <s v="Coimbatore"/>
    <s v="Follow-up"/>
    <n v="2"/>
  </r>
  <r>
    <s v="P0190"/>
    <n v="79"/>
    <s v="Male"/>
    <s v="Cancer"/>
    <s v="Neurology"/>
    <s v="Dr. Arun"/>
    <d v="2024-04-17T00:00:00"/>
    <d v="2024-04-26T00:00:00"/>
    <n v="29295"/>
    <s v="Corporate"/>
    <x v="1"/>
    <s v="Coimbatore"/>
    <s v="Follow-up"/>
    <n v="2"/>
  </r>
  <r>
    <s v="P0191"/>
    <n v="34"/>
    <s v="Male"/>
    <s v="Orthopedic"/>
    <s v="Oncology"/>
    <s v="Dr. Raj"/>
    <d v="2024-10-15T00:00:00"/>
    <d v="2024-10-20T00:00:00"/>
    <n v="14328"/>
    <s v="Corporate"/>
    <x v="2"/>
    <s v="Chennai"/>
    <s v="Under Treatment"/>
    <n v="3"/>
  </r>
  <r>
    <s v="P0192"/>
    <n v="85"/>
    <s v="Female"/>
    <s v="Diabetes"/>
    <s v="Neurology"/>
    <s v="Dr. Priya"/>
    <d v="2025-12-16T00:00:00"/>
    <d v="2025-12-17T00:00:00"/>
    <n v="39410"/>
    <s v="Government"/>
    <x v="3"/>
    <s v="Coimbatore"/>
    <s v="Follow-up"/>
    <n v="1"/>
  </r>
  <r>
    <s v="P0193"/>
    <n v="25"/>
    <s v="Male"/>
    <s v="Cardiac"/>
    <s v="Orthopedics"/>
    <s v="Dr. Raj"/>
    <d v="2025-02-24T00:00:00"/>
    <d v="2025-03-05T00:00:00"/>
    <n v="19302"/>
    <s v="Corporate"/>
    <x v="3"/>
    <s v="Bangalore"/>
    <s v="Under Treatment"/>
    <n v="3"/>
  </r>
  <r>
    <s v="P0194"/>
    <n v="48"/>
    <s v="Male"/>
    <s v="Cardiac"/>
    <s v="Pulmonology"/>
    <s v="Dr. Arun"/>
    <d v="2024-01-31T00:00:00"/>
    <d v="2024-02-04T00:00:00"/>
    <n v="217449"/>
    <s v="None"/>
    <x v="0"/>
    <s v="Bangalore"/>
    <s v="Recovered"/>
    <n v="4"/>
  </r>
  <r>
    <s v="P0195"/>
    <n v="61"/>
    <s v="Male"/>
    <s v="Infection"/>
    <s v="Pulmonology"/>
    <s v="Dr. Meena"/>
    <d v="2025-05-16T00:00:00"/>
    <d v="2025-06-03T00:00:00"/>
    <n v="234137"/>
    <s v="Corporate"/>
    <x v="3"/>
    <s v="Madurai"/>
    <s v="Under Treatment"/>
    <n v="4"/>
  </r>
  <r>
    <s v="P0196"/>
    <n v="21"/>
    <s v="Female"/>
    <s v="Infection"/>
    <s v="Neurology"/>
    <s v="Dr. Priya"/>
    <d v="2024-03-24T00:00:00"/>
    <d v="2024-04-08T00:00:00"/>
    <n v="33092"/>
    <s v="Government"/>
    <x v="2"/>
    <s v="Madurai"/>
    <s v="Under Treatment"/>
    <n v="2"/>
  </r>
  <r>
    <s v="P0197"/>
    <n v="47"/>
    <s v="Female"/>
    <s v="Cardiac"/>
    <s v="General Medicine"/>
    <s v="Dr. Kumar"/>
    <d v="2024-04-14T00:00:00"/>
    <d v="2024-04-19T00:00:00"/>
    <n v="23871"/>
    <s v="Government"/>
    <x v="1"/>
    <s v="Coimbatore"/>
    <s v="Under Treatment"/>
    <n v="4"/>
  </r>
  <r>
    <s v="P0198"/>
    <n v="22"/>
    <s v="Male"/>
    <s v="Respiratory"/>
    <s v="Neurology"/>
    <s v="Dr. Raj"/>
    <d v="2024-09-07T00:00:00"/>
    <d v="2024-09-14T00:00:00"/>
    <n v="26433"/>
    <s v="Private"/>
    <x v="1"/>
    <s v="Hyderabad"/>
    <s v="Under Treatment"/>
    <n v="5"/>
  </r>
  <r>
    <s v="P0199"/>
    <n v="43"/>
    <s v="Male"/>
    <s v="Neurological"/>
    <s v="Neurology"/>
    <s v="Dr. Raj"/>
    <d v="2024-08-09T00:00:00"/>
    <d v="2024-08-15T00:00:00"/>
    <n v="49538"/>
    <s v="Government"/>
    <x v="2"/>
    <s v="Hyderabad"/>
    <s v="Follow-up"/>
    <n v="5"/>
  </r>
  <r>
    <s v="P0200"/>
    <n v="67"/>
    <s v="Female"/>
    <s v="Orthopedic"/>
    <s v="Orthopedics"/>
    <s v="Dr. Arun"/>
    <d v="2025-08-15T00:00:00"/>
    <d v="2025-08-27T00:00:00"/>
    <n v="178318"/>
    <s v="Private"/>
    <x v="3"/>
    <s v="Madurai"/>
    <s v="Follow-up"/>
    <n v="4"/>
  </r>
  <r>
    <s v="P0201"/>
    <n v="53"/>
    <s v="Female"/>
    <s v="Cancer"/>
    <s v="Neurology"/>
    <s v="Dr. Raj"/>
    <d v="2024-09-18T00:00:00"/>
    <d v="2024-10-07T00:00:00"/>
    <n v="77730"/>
    <s v="None"/>
    <x v="3"/>
    <s v="Chennai"/>
    <s v="Under Treatment"/>
    <n v="1"/>
  </r>
  <r>
    <s v="P0202"/>
    <n v="76"/>
    <s v="Male"/>
    <s v="Neurological"/>
    <s v="General Medicine"/>
    <s v="Dr. Kumar"/>
    <d v="2024-10-15T00:00:00"/>
    <d v="2024-10-24T00:00:00"/>
    <n v="111051"/>
    <s v="Government"/>
    <x v="3"/>
    <s v="Madurai"/>
    <s v="Follow-up"/>
    <n v="5"/>
  </r>
  <r>
    <s v="P0203"/>
    <n v="53"/>
    <s v="Female"/>
    <s v="Diabetes"/>
    <s v="Pulmonology"/>
    <s v="Dr. Priya"/>
    <d v="2024-04-25T00:00:00"/>
    <d v="2024-05-12T00:00:00"/>
    <n v="41337"/>
    <s v="None"/>
    <x v="3"/>
    <s v="Coimbatore"/>
    <s v="Under Treatment"/>
    <n v="1"/>
  </r>
  <r>
    <s v="P0204"/>
    <n v="49"/>
    <s v="Female"/>
    <s v="Orthopedic"/>
    <s v="Neurology"/>
    <s v="Dr. Meena"/>
    <d v="2025-07-29T00:00:00"/>
    <d v="2025-08-16T00:00:00"/>
    <n v="183685"/>
    <s v="None"/>
    <x v="3"/>
    <s v="Chennai"/>
    <s v="Follow-up"/>
    <n v="1"/>
  </r>
  <r>
    <s v="P0205"/>
    <n v="54"/>
    <s v="Male"/>
    <s v="Diabetes"/>
    <s v="General Medicine"/>
    <s v="Dr. Raj"/>
    <d v="2025-09-26T00:00:00"/>
    <d v="2025-10-10T00:00:00"/>
    <n v="170867"/>
    <s v="Government"/>
    <x v="1"/>
    <s v="Madurai"/>
    <s v="Under Treatment"/>
    <n v="1"/>
  </r>
  <r>
    <s v="P0206"/>
    <n v="50"/>
    <s v="Female"/>
    <s v="Orthopedic"/>
    <s v="Orthopedics"/>
    <s v="Dr. Arun"/>
    <d v="2024-12-15T00:00:00"/>
    <d v="2024-12-31T00:00:00"/>
    <n v="94186"/>
    <s v="None"/>
    <x v="3"/>
    <s v="Hyderabad"/>
    <s v="Under Treatment"/>
    <n v="4"/>
  </r>
  <r>
    <s v="P0207"/>
    <n v="23"/>
    <s v="Male"/>
    <s v="Neurological"/>
    <s v="General Medicine"/>
    <s v="Dr. Kumar"/>
    <d v="2024-01-07T00:00:00"/>
    <d v="2024-01-11T00:00:00"/>
    <n v="207028"/>
    <s v="Government"/>
    <x v="3"/>
    <s v="Madurai"/>
    <s v="Follow-up"/>
    <n v="3"/>
  </r>
  <r>
    <s v="P0208"/>
    <n v="40"/>
    <s v="Female"/>
    <s v="Diabetes"/>
    <s v="General Medicine"/>
    <s v="Dr. Priya"/>
    <d v="2025-11-17T00:00:00"/>
    <d v="2025-12-04T00:00:00"/>
    <n v="157714"/>
    <s v="Corporate"/>
    <x v="3"/>
    <s v="Hyderabad"/>
    <s v="Recovered"/>
    <n v="4"/>
  </r>
  <r>
    <s v="P0209"/>
    <n v="44"/>
    <s v="Male"/>
    <s v="Cancer"/>
    <s v="Orthopedics"/>
    <s v="Dr. Raj"/>
    <d v="2025-10-28T00:00:00"/>
    <d v="2025-11-16T00:00:00"/>
    <n v="185220"/>
    <s v="None"/>
    <x v="2"/>
    <s v="Chennai"/>
    <s v="Under Treatment"/>
    <n v="5"/>
  </r>
  <r>
    <s v="P0210"/>
    <n v="22"/>
    <s v="Female"/>
    <s v="Orthopedic"/>
    <s v="Orthopedics"/>
    <s v="Dr. Arun"/>
    <d v="2024-08-10T00:00:00"/>
    <d v="2024-08-14T00:00:00"/>
    <n v="107362"/>
    <s v="Private"/>
    <x v="0"/>
    <s v="Coimbatore"/>
    <s v="Under Treatment"/>
    <n v="5"/>
  </r>
  <r>
    <s v="P0211"/>
    <n v="30"/>
    <s v="Female"/>
    <s v="Diabetes"/>
    <s v="Pulmonology"/>
    <s v="Dr. Kumar"/>
    <d v="2025-02-17T00:00:00"/>
    <d v="2025-02-28T00:00:00"/>
    <n v="118238"/>
    <s v="Government"/>
    <x v="1"/>
    <s v="Chennai"/>
    <s v="Recovered"/>
    <n v="4"/>
  </r>
  <r>
    <s v="P0212"/>
    <n v="33"/>
    <s v="Female"/>
    <s v="Cardiac"/>
    <s v="Neurology"/>
    <s v="Dr. Meena"/>
    <d v="2024-03-17T00:00:00"/>
    <d v="2024-04-03T00:00:00"/>
    <n v="24163"/>
    <s v="None"/>
    <x v="2"/>
    <s v="Madurai"/>
    <s v="Recovered"/>
    <n v="4"/>
  </r>
  <r>
    <s v="P0213"/>
    <n v="25"/>
    <s v="Male"/>
    <s v="Orthopedic"/>
    <s v="Cardiology"/>
    <s v="Dr. Kumar"/>
    <d v="2025-06-22T00:00:00"/>
    <d v="2025-07-03T00:00:00"/>
    <n v="106328"/>
    <s v="Corporate"/>
    <x v="3"/>
    <s v="Bangalore"/>
    <s v="Recovered"/>
    <n v="5"/>
  </r>
  <r>
    <s v="P0214"/>
    <n v="39"/>
    <s v="Male"/>
    <s v="Neurological"/>
    <s v="Neurology"/>
    <s v="Dr. Kumar"/>
    <d v="2024-10-02T00:00:00"/>
    <d v="2024-10-07T00:00:00"/>
    <n v="155015"/>
    <s v="Private"/>
    <x v="0"/>
    <s v="Hyderabad"/>
    <s v="Follow-up"/>
    <n v="4"/>
  </r>
  <r>
    <s v="P0215"/>
    <n v="33"/>
    <s v="Female"/>
    <s v="Neurological"/>
    <s v="Neurology"/>
    <s v="Dr. Priya"/>
    <d v="2024-05-31T00:00:00"/>
    <d v="2024-06-08T00:00:00"/>
    <n v="26021"/>
    <s v="None"/>
    <x v="3"/>
    <s v="Hyderabad"/>
    <s v="Under Treatment"/>
    <n v="3"/>
  </r>
  <r>
    <s v="P0216"/>
    <n v="38"/>
    <s v="Female"/>
    <s v="Diabetes"/>
    <s v="Orthopedics"/>
    <s v="Dr. Raj"/>
    <d v="2024-06-16T00:00:00"/>
    <d v="2024-06-17T00:00:00"/>
    <n v="67746"/>
    <s v="Private"/>
    <x v="3"/>
    <s v="Chennai"/>
    <s v="Recovered"/>
    <n v="3"/>
  </r>
  <r>
    <s v="P0217"/>
    <n v="69"/>
    <s v="Male"/>
    <s v="Cancer"/>
    <s v="Oncology"/>
    <s v="Dr. Arun"/>
    <d v="2024-10-17T00:00:00"/>
    <d v="2024-10-26T00:00:00"/>
    <n v="209187"/>
    <s v="Corporate"/>
    <x v="1"/>
    <s v="Chennai"/>
    <s v="Under Treatment"/>
    <n v="1"/>
  </r>
  <r>
    <s v="P0218"/>
    <n v="76"/>
    <s v="Female"/>
    <s v="Cancer"/>
    <s v="General Medicine"/>
    <s v="Dr. Arun"/>
    <d v="2025-07-19T00:00:00"/>
    <d v="2025-07-30T00:00:00"/>
    <n v="190845"/>
    <s v="None"/>
    <x v="2"/>
    <s v="Chennai"/>
    <s v="Follow-up"/>
    <n v="1"/>
  </r>
  <r>
    <s v="P0219"/>
    <n v="66"/>
    <s v="Male"/>
    <s v="Orthopedic"/>
    <s v="General Medicine"/>
    <s v="Dr. Meena"/>
    <d v="2024-05-20T00:00:00"/>
    <d v="2024-06-07T00:00:00"/>
    <n v="208235"/>
    <s v="Private"/>
    <x v="0"/>
    <s v="Coimbatore"/>
    <s v="Under Treatment"/>
    <n v="1"/>
  </r>
  <r>
    <s v="P0220"/>
    <n v="51"/>
    <s v="Female"/>
    <s v="Cancer"/>
    <s v="Pulmonology"/>
    <s v="Dr. Priya"/>
    <d v="2025-06-18T00:00:00"/>
    <d v="2025-06-19T00:00:00"/>
    <n v="135332"/>
    <s v="Private"/>
    <x v="3"/>
    <s v="Coimbatore"/>
    <s v="Recovered"/>
    <n v="2"/>
  </r>
  <r>
    <s v="P0221"/>
    <n v="72"/>
    <s v="Female"/>
    <s v="Cardiac"/>
    <s v="Neurology"/>
    <s v="Dr. Raj"/>
    <d v="2025-02-19T00:00:00"/>
    <d v="2025-03-05T00:00:00"/>
    <n v="162337"/>
    <s v="Private"/>
    <x v="2"/>
    <s v="Bangalore"/>
    <s v="Under Treatment"/>
    <n v="4"/>
  </r>
  <r>
    <s v="P0222"/>
    <n v="22"/>
    <s v="Male"/>
    <s v="Respiratory"/>
    <s v="Oncology"/>
    <s v="Dr. Raj"/>
    <d v="2025-02-22T00:00:00"/>
    <d v="2025-03-02T00:00:00"/>
    <n v="243034"/>
    <s v="Corporate"/>
    <x v="0"/>
    <s v="Bangalore"/>
    <s v="Recovered"/>
    <n v="3"/>
  </r>
  <r>
    <s v="P0223"/>
    <n v="81"/>
    <s v="Female"/>
    <s v="Neurological"/>
    <s v="Pulmonology"/>
    <s v="Dr. Raj"/>
    <d v="2024-05-06T00:00:00"/>
    <d v="2024-05-18T00:00:00"/>
    <n v="182799"/>
    <s v="Government"/>
    <x v="0"/>
    <s v="Madurai"/>
    <s v="Follow-up"/>
    <n v="2"/>
  </r>
  <r>
    <s v="P0224"/>
    <n v="45"/>
    <s v="Female"/>
    <s v="Neurological"/>
    <s v="Orthopedics"/>
    <s v="Dr. Arun"/>
    <d v="2024-09-09T00:00:00"/>
    <d v="2024-09-19T00:00:00"/>
    <n v="81594"/>
    <s v="Corporate"/>
    <x v="3"/>
    <s v="Bangalore"/>
    <s v="Under Treatment"/>
    <n v="1"/>
  </r>
  <r>
    <s v="P0225"/>
    <n v="33"/>
    <s v="Female"/>
    <s v="Respiratory"/>
    <s v="Oncology"/>
    <s v="Dr. Kumar"/>
    <d v="2025-11-17T00:00:00"/>
    <d v="2025-11-28T00:00:00"/>
    <n v="110837"/>
    <s v="Corporate"/>
    <x v="3"/>
    <s v="Hyderabad"/>
    <s v="Recovered"/>
    <n v="5"/>
  </r>
  <r>
    <s v="P0226"/>
    <n v="27"/>
    <s v="Female"/>
    <s v="Orthopedic"/>
    <s v="Neurology"/>
    <s v="Dr. Meena"/>
    <d v="2024-12-15T00:00:00"/>
    <d v="2025-01-03T00:00:00"/>
    <n v="249707"/>
    <s v="None"/>
    <x v="3"/>
    <s v="Chennai"/>
    <s v="Follow-up"/>
    <n v="1"/>
  </r>
  <r>
    <s v="P0227"/>
    <n v="23"/>
    <s v="Male"/>
    <s v="Diabetes"/>
    <s v="Cardiology"/>
    <s v="Dr. Raj"/>
    <d v="2025-11-06T00:00:00"/>
    <d v="2025-11-19T00:00:00"/>
    <n v="21898"/>
    <s v="Corporate"/>
    <x v="3"/>
    <s v="Coimbatore"/>
    <s v="Recovered"/>
    <n v="4"/>
  </r>
  <r>
    <s v="P0228"/>
    <n v="83"/>
    <s v="Female"/>
    <s v="Cancer"/>
    <s v="Pulmonology"/>
    <s v="Dr. Arun"/>
    <d v="2024-07-27T00:00:00"/>
    <d v="2024-08-10T00:00:00"/>
    <n v="118649"/>
    <s v="Corporate"/>
    <x v="2"/>
    <s v="Coimbatore"/>
    <s v="Recovered"/>
    <n v="2"/>
  </r>
  <r>
    <s v="P0229"/>
    <n v="43"/>
    <s v="Female"/>
    <s v="Diabetes"/>
    <s v="Orthopedics"/>
    <s v="Dr. Kumar"/>
    <d v="2025-11-29T00:00:00"/>
    <d v="2025-12-19T00:00:00"/>
    <n v="174592"/>
    <s v="Corporate"/>
    <x v="2"/>
    <s v="Coimbatore"/>
    <s v="Recovered"/>
    <n v="3"/>
  </r>
  <r>
    <s v="P0230"/>
    <n v="78"/>
    <s v="Female"/>
    <s v="Neurological"/>
    <s v="Cardiology"/>
    <s v="Dr. Kumar"/>
    <d v="2025-11-24T00:00:00"/>
    <d v="2025-12-05T00:00:00"/>
    <n v="27900"/>
    <s v="Corporate"/>
    <x v="2"/>
    <s v="Bangalore"/>
    <s v="Follow-up"/>
    <n v="2"/>
  </r>
  <r>
    <s v="P0231"/>
    <n v="85"/>
    <s v="Female"/>
    <s v="Cardiac"/>
    <s v="Pulmonology"/>
    <s v="Dr. Priya"/>
    <d v="2024-12-28T00:00:00"/>
    <d v="2025-01-15T00:00:00"/>
    <n v="163363"/>
    <s v="Government"/>
    <x v="0"/>
    <s v="Bangalore"/>
    <s v="Follow-up"/>
    <n v="5"/>
  </r>
  <r>
    <s v="P0232"/>
    <n v="19"/>
    <s v="Female"/>
    <s v="Cancer"/>
    <s v="Orthopedics"/>
    <s v="Dr. Meena"/>
    <d v="2024-01-12T00:00:00"/>
    <d v="2024-01-18T00:00:00"/>
    <n v="151200"/>
    <s v="Private"/>
    <x v="0"/>
    <s v="Bangalore"/>
    <s v="Recovered"/>
    <n v="3"/>
  </r>
  <r>
    <s v="P0233"/>
    <n v="84"/>
    <s v="Male"/>
    <s v="Cancer"/>
    <s v="Neurology"/>
    <s v="Dr. Raj"/>
    <d v="2025-06-07T00:00:00"/>
    <d v="2025-06-21T00:00:00"/>
    <n v="232288"/>
    <s v="Private"/>
    <x v="3"/>
    <s v="Madurai"/>
    <s v="Under Treatment"/>
    <n v="5"/>
  </r>
  <r>
    <s v="P0234"/>
    <n v="78"/>
    <s v="Male"/>
    <s v="Orthopedic"/>
    <s v="Neurology"/>
    <s v="Dr. Priya"/>
    <d v="2024-02-08T00:00:00"/>
    <d v="2024-02-19T00:00:00"/>
    <n v="29593"/>
    <s v="None"/>
    <x v="2"/>
    <s v="Madurai"/>
    <s v="Recovered"/>
    <n v="3"/>
  </r>
  <r>
    <s v="P0235"/>
    <n v="53"/>
    <s v="Male"/>
    <s v="Neurological"/>
    <s v="Cardiology"/>
    <s v="Dr. Kumar"/>
    <d v="2024-01-26T00:00:00"/>
    <d v="2024-02-09T00:00:00"/>
    <n v="165494"/>
    <s v="Government"/>
    <x v="1"/>
    <s v="Chennai"/>
    <s v="Follow-up"/>
    <n v="2"/>
  </r>
  <r>
    <s v="P0236"/>
    <n v="60"/>
    <s v="Female"/>
    <s v="Respiratory"/>
    <s v="General Medicine"/>
    <s v="Dr. Meena"/>
    <d v="2025-04-02T00:00:00"/>
    <d v="2025-04-12T00:00:00"/>
    <n v="130439"/>
    <s v="Government"/>
    <x v="3"/>
    <s v="Hyderabad"/>
    <s v="Recovered"/>
    <n v="2"/>
  </r>
  <r>
    <s v="P0237"/>
    <n v="47"/>
    <s v="Female"/>
    <s v="Cardiac"/>
    <s v="Orthopedics"/>
    <s v="Dr. Priya"/>
    <d v="2025-03-21T00:00:00"/>
    <d v="2025-04-05T00:00:00"/>
    <n v="72935"/>
    <s v="Private"/>
    <x v="0"/>
    <s v="Chennai"/>
    <s v="Under Treatment"/>
    <n v="2"/>
  </r>
  <r>
    <s v="P0238"/>
    <n v="22"/>
    <s v="Female"/>
    <s v="Cardiac"/>
    <s v="Orthopedics"/>
    <s v="Dr. Arun"/>
    <d v="2025-07-16T00:00:00"/>
    <d v="2025-07-27T00:00:00"/>
    <n v="50521"/>
    <s v="Government"/>
    <x v="2"/>
    <s v="Chennai"/>
    <s v="Recovered"/>
    <n v="5"/>
  </r>
  <r>
    <s v="P0239"/>
    <n v="78"/>
    <s v="Female"/>
    <s v="Respiratory"/>
    <s v="Pulmonology"/>
    <s v="Dr. Priya"/>
    <d v="2024-07-01T00:00:00"/>
    <d v="2024-07-12T00:00:00"/>
    <n v="143030"/>
    <s v="Private"/>
    <x v="3"/>
    <s v="Madurai"/>
    <s v="Under Treatment"/>
    <n v="4"/>
  </r>
  <r>
    <s v="P0240"/>
    <n v="25"/>
    <s v="Female"/>
    <s v="Infection"/>
    <s v="Cardiology"/>
    <s v="Dr. Kumar"/>
    <d v="2024-06-02T00:00:00"/>
    <d v="2024-06-03T00:00:00"/>
    <n v="152432"/>
    <s v="None"/>
    <x v="1"/>
    <s v="Coimbatore"/>
    <s v="Recovered"/>
    <n v="5"/>
  </r>
  <r>
    <s v="P0241"/>
    <n v="33"/>
    <s v="Female"/>
    <s v="Diabetes"/>
    <s v="Pulmonology"/>
    <s v="Dr. Priya"/>
    <d v="2024-08-21T00:00:00"/>
    <d v="2024-08-27T00:00:00"/>
    <n v="134664"/>
    <s v="None"/>
    <x v="3"/>
    <s v="Hyderabad"/>
    <s v="Follow-up"/>
    <n v="3"/>
  </r>
  <r>
    <s v="P0242"/>
    <n v="42"/>
    <s v="Female"/>
    <s v="Cardiac"/>
    <s v="General Medicine"/>
    <s v="Dr. Meena"/>
    <d v="2024-05-17T00:00:00"/>
    <d v="2024-05-27T00:00:00"/>
    <n v="73041"/>
    <s v="Private"/>
    <x v="1"/>
    <s v="Coimbatore"/>
    <s v="Follow-up"/>
    <n v="3"/>
  </r>
  <r>
    <s v="P0243"/>
    <n v="18"/>
    <s v="Male"/>
    <s v="Neurological"/>
    <s v="Neurology"/>
    <s v="Dr. Priya"/>
    <d v="2025-12-12T00:00:00"/>
    <d v="2025-12-29T00:00:00"/>
    <n v="224766"/>
    <s v="Government"/>
    <x v="2"/>
    <s v="Bangalore"/>
    <s v="Follow-up"/>
    <n v="3"/>
  </r>
  <r>
    <s v="P0244"/>
    <n v="47"/>
    <s v="Female"/>
    <s v="Cancer"/>
    <s v="Orthopedics"/>
    <s v="Dr. Arun"/>
    <d v="2024-10-10T00:00:00"/>
    <d v="2024-10-12T00:00:00"/>
    <n v="60832"/>
    <s v="Government"/>
    <x v="3"/>
    <s v="Coimbatore"/>
    <s v="Under Treatment"/>
    <n v="2"/>
  </r>
  <r>
    <s v="P0245"/>
    <n v="27"/>
    <s v="Male"/>
    <s v="Neurological"/>
    <s v="General Medicine"/>
    <s v="Dr. Arun"/>
    <d v="2025-03-08T00:00:00"/>
    <d v="2025-03-14T00:00:00"/>
    <n v="205220"/>
    <s v="None"/>
    <x v="2"/>
    <s v="Coimbatore"/>
    <s v="Under Treatment"/>
    <n v="2"/>
  </r>
  <r>
    <s v="P0246"/>
    <n v="21"/>
    <s v="Male"/>
    <s v="Orthopedic"/>
    <s v="Neurology"/>
    <s v="Dr. Meena"/>
    <d v="2025-09-11T00:00:00"/>
    <d v="2025-09-12T00:00:00"/>
    <n v="24441"/>
    <s v="None"/>
    <x v="2"/>
    <s v="Chennai"/>
    <s v="Under Treatment"/>
    <n v="3"/>
  </r>
  <r>
    <s v="P0247"/>
    <n v="81"/>
    <s v="Female"/>
    <s v="Neurological"/>
    <s v="Oncology"/>
    <s v="Dr. Priya"/>
    <d v="2024-06-30T00:00:00"/>
    <d v="2024-07-17T00:00:00"/>
    <n v="58034"/>
    <s v="Corporate"/>
    <x v="1"/>
    <s v="Bangalore"/>
    <s v="Follow-up"/>
    <n v="5"/>
  </r>
  <r>
    <s v="P0248"/>
    <n v="82"/>
    <s v="Male"/>
    <s v="Cancer"/>
    <s v="Cardiology"/>
    <s v="Dr. Priya"/>
    <d v="2025-02-10T00:00:00"/>
    <d v="2025-02-28T00:00:00"/>
    <n v="172869"/>
    <s v="None"/>
    <x v="2"/>
    <s v="Hyderabad"/>
    <s v="Under Treatment"/>
    <n v="3"/>
  </r>
  <r>
    <s v="P0249"/>
    <n v="83"/>
    <s v="Female"/>
    <s v="Neurological"/>
    <s v="Neurology"/>
    <s v="Dr. Priya"/>
    <d v="2024-04-02T00:00:00"/>
    <d v="2024-04-15T00:00:00"/>
    <n v="84821"/>
    <s v="None"/>
    <x v="3"/>
    <s v="Coimbatore"/>
    <s v="Follow-up"/>
    <n v="1"/>
  </r>
  <r>
    <s v="P0250"/>
    <n v="18"/>
    <s v="Male"/>
    <s v="Infection"/>
    <s v="Neurology"/>
    <s v="Dr. Kumar"/>
    <d v="2024-08-31T00:00:00"/>
    <d v="2024-09-08T00:00:00"/>
    <n v="152927"/>
    <s v="Corporate"/>
    <x v="3"/>
    <s v="Madurai"/>
    <s v="Follow-up"/>
    <n v="2"/>
  </r>
  <r>
    <s v="P0251"/>
    <n v="63"/>
    <s v="Female"/>
    <s v="Orthopedic"/>
    <s v="Neurology"/>
    <s v="Dr. Kumar"/>
    <d v="2025-03-23T00:00:00"/>
    <d v="2025-04-01T00:00:00"/>
    <n v="66462"/>
    <s v="Government"/>
    <x v="1"/>
    <s v="Chennai"/>
    <s v="Follow-up"/>
    <n v="4"/>
  </r>
  <r>
    <s v="P0252"/>
    <n v="85"/>
    <s v="Female"/>
    <s v="Infection"/>
    <s v="Oncology"/>
    <s v="Dr. Arun"/>
    <d v="2024-04-29T00:00:00"/>
    <d v="2024-05-04T00:00:00"/>
    <n v="175162"/>
    <s v="Private"/>
    <x v="0"/>
    <s v="Hyderabad"/>
    <s v="Under Treatment"/>
    <n v="3"/>
  </r>
  <r>
    <s v="P0253"/>
    <n v="68"/>
    <s v="Female"/>
    <s v="Respiratory"/>
    <s v="Pulmonology"/>
    <s v="Dr. Raj"/>
    <d v="2025-02-24T00:00:00"/>
    <d v="2025-03-05T00:00:00"/>
    <n v="77256"/>
    <s v="None"/>
    <x v="2"/>
    <s v="Coimbatore"/>
    <s v="Follow-up"/>
    <n v="3"/>
  </r>
  <r>
    <s v="P0254"/>
    <n v="27"/>
    <s v="Male"/>
    <s v="Diabetes"/>
    <s v="Pulmonology"/>
    <s v="Dr. Raj"/>
    <d v="2025-05-27T00:00:00"/>
    <d v="2025-06-13T00:00:00"/>
    <n v="137598"/>
    <s v="Government"/>
    <x v="3"/>
    <s v="Hyderabad"/>
    <s v="Under Treatment"/>
    <n v="4"/>
  </r>
  <r>
    <s v="P0255"/>
    <n v="61"/>
    <s v="Female"/>
    <s v="Cardiac"/>
    <s v="General Medicine"/>
    <s v="Dr. Priya"/>
    <d v="2024-03-06T00:00:00"/>
    <d v="2024-03-18T00:00:00"/>
    <n v="193739"/>
    <s v="Government"/>
    <x v="1"/>
    <s v="Coimbatore"/>
    <s v="Follow-up"/>
    <n v="5"/>
  </r>
  <r>
    <s v="P0256"/>
    <n v="53"/>
    <s v="Female"/>
    <s v="Cardiac"/>
    <s v="Neurology"/>
    <s v="Dr. Priya"/>
    <d v="2025-12-08T00:00:00"/>
    <d v="2025-12-16T00:00:00"/>
    <n v="219956"/>
    <s v="Private"/>
    <x v="2"/>
    <s v="Hyderabad"/>
    <s v="Under Treatment"/>
    <n v="1"/>
  </r>
  <r>
    <s v="P0257"/>
    <n v="55"/>
    <s v="Female"/>
    <s v="Orthopedic"/>
    <s v="Oncology"/>
    <s v="Dr. Meena"/>
    <d v="2024-12-31T00:00:00"/>
    <d v="2025-01-18T00:00:00"/>
    <n v="10606"/>
    <s v="Government"/>
    <x v="0"/>
    <s v="Bangalore"/>
    <s v="Under Treatment"/>
    <n v="2"/>
  </r>
  <r>
    <s v="P0258"/>
    <n v="26"/>
    <s v="Male"/>
    <s v="Infection"/>
    <s v="Oncology"/>
    <s v="Dr. Meena"/>
    <d v="2025-09-24T00:00:00"/>
    <d v="2025-10-06T00:00:00"/>
    <n v="167293"/>
    <s v="Private"/>
    <x v="1"/>
    <s v="Madurai"/>
    <s v="Under Treatment"/>
    <n v="3"/>
  </r>
  <r>
    <s v="P0259"/>
    <n v="26"/>
    <s v="Female"/>
    <s v="Cancer"/>
    <s v="General Medicine"/>
    <s v="Dr. Kumar"/>
    <d v="2025-05-03T00:00:00"/>
    <d v="2025-05-11T00:00:00"/>
    <n v="178178"/>
    <s v="Corporate"/>
    <x v="2"/>
    <s v="Hyderabad"/>
    <s v="Follow-up"/>
    <n v="5"/>
  </r>
  <r>
    <s v="P0260"/>
    <n v="39"/>
    <s v="Female"/>
    <s v="Neurological"/>
    <s v="Cardiology"/>
    <s v="Dr. Meena"/>
    <d v="2025-06-28T00:00:00"/>
    <d v="2025-07-12T00:00:00"/>
    <n v="133380"/>
    <s v="None"/>
    <x v="3"/>
    <s v="Coimbatore"/>
    <s v="Under Treatment"/>
    <n v="4"/>
  </r>
  <r>
    <s v="P0261"/>
    <n v="30"/>
    <s v="Male"/>
    <s v="Cancer"/>
    <s v="Oncology"/>
    <s v="Dr. Priya"/>
    <d v="2025-05-26T00:00:00"/>
    <d v="2025-05-29T00:00:00"/>
    <n v="104238"/>
    <s v="Government"/>
    <x v="0"/>
    <s v="Coimbatore"/>
    <s v="Recovered"/>
    <n v="2"/>
  </r>
  <r>
    <s v="P0262"/>
    <n v="72"/>
    <s v="Female"/>
    <s v="Infection"/>
    <s v="Oncology"/>
    <s v="Dr. Kumar"/>
    <d v="2024-09-14T00:00:00"/>
    <d v="2024-10-01T00:00:00"/>
    <n v="210545"/>
    <s v="Government"/>
    <x v="0"/>
    <s v="Madurai"/>
    <s v="Recovered"/>
    <n v="3"/>
  </r>
  <r>
    <s v="P0263"/>
    <n v="25"/>
    <s v="Female"/>
    <s v="Respiratory"/>
    <s v="General Medicine"/>
    <s v="Dr. Raj"/>
    <d v="2025-02-06T00:00:00"/>
    <d v="2025-02-25T00:00:00"/>
    <n v="129423"/>
    <s v="None"/>
    <x v="2"/>
    <s v="Madurai"/>
    <s v="Under Treatment"/>
    <n v="2"/>
  </r>
  <r>
    <s v="P0264"/>
    <n v="41"/>
    <s v="Male"/>
    <s v="Neurological"/>
    <s v="Neurology"/>
    <s v="Dr. Meena"/>
    <d v="2024-05-06T00:00:00"/>
    <d v="2024-05-17T00:00:00"/>
    <n v="157261"/>
    <s v="Private"/>
    <x v="0"/>
    <s v="Madurai"/>
    <s v="Follow-up"/>
    <n v="1"/>
  </r>
  <r>
    <s v="P0265"/>
    <n v="85"/>
    <s v="Female"/>
    <s v="Infection"/>
    <s v="General Medicine"/>
    <s v="Dr. Priya"/>
    <d v="2024-06-24T00:00:00"/>
    <d v="2024-06-28T00:00:00"/>
    <n v="189635"/>
    <s v="Corporate"/>
    <x v="1"/>
    <s v="Madurai"/>
    <s v="Follow-up"/>
    <n v="5"/>
  </r>
  <r>
    <s v="P0266"/>
    <n v="77"/>
    <s v="Female"/>
    <s v="Orthopedic"/>
    <s v="Neurology"/>
    <s v="Dr. Arun"/>
    <d v="2024-06-14T00:00:00"/>
    <d v="2024-06-30T00:00:00"/>
    <n v="188642"/>
    <s v="Private"/>
    <x v="0"/>
    <s v="Madurai"/>
    <s v="Under Treatment"/>
    <n v="4"/>
  </r>
  <r>
    <s v="P0267"/>
    <n v="19"/>
    <s v="Female"/>
    <s v="Neurological"/>
    <s v="Oncology"/>
    <s v="Dr. Arun"/>
    <d v="2024-07-01T00:00:00"/>
    <d v="2024-07-19T00:00:00"/>
    <n v="171040"/>
    <s v="Corporate"/>
    <x v="0"/>
    <s v="Madurai"/>
    <s v="Recovered"/>
    <n v="2"/>
  </r>
  <r>
    <s v="P0268"/>
    <n v="23"/>
    <s v="Male"/>
    <s v="Respiratory"/>
    <s v="Pulmonology"/>
    <s v="Dr. Meena"/>
    <d v="2024-05-14T00:00:00"/>
    <d v="2024-05-31T00:00:00"/>
    <n v="34746"/>
    <s v="Private"/>
    <x v="0"/>
    <s v="Hyderabad"/>
    <s v="Under Treatment"/>
    <n v="5"/>
  </r>
  <r>
    <s v="P0269"/>
    <n v="27"/>
    <s v="Female"/>
    <s v="Respiratory"/>
    <s v="Oncology"/>
    <s v="Dr. Raj"/>
    <d v="2025-07-21T00:00:00"/>
    <d v="2025-08-07T00:00:00"/>
    <n v="236167"/>
    <s v="None"/>
    <x v="2"/>
    <s v="Madurai"/>
    <s v="Recovered"/>
    <n v="3"/>
  </r>
  <r>
    <s v="P0270"/>
    <n v="84"/>
    <s v="Male"/>
    <s v="Orthopedic"/>
    <s v="Pulmonology"/>
    <s v="Dr. Kumar"/>
    <d v="2025-11-23T00:00:00"/>
    <d v="2025-12-03T00:00:00"/>
    <n v="176933"/>
    <s v="Corporate"/>
    <x v="0"/>
    <s v="Hyderabad"/>
    <s v="Follow-up"/>
    <n v="4"/>
  </r>
  <r>
    <s v="P0271"/>
    <n v="38"/>
    <s v="Female"/>
    <s v="Infection"/>
    <s v="Neurology"/>
    <s v="Dr. Priya"/>
    <d v="2024-11-07T00:00:00"/>
    <d v="2024-11-23T00:00:00"/>
    <n v="212160"/>
    <s v="Government"/>
    <x v="1"/>
    <s v="Coimbatore"/>
    <s v="Recovered"/>
    <n v="2"/>
  </r>
  <r>
    <s v="P0272"/>
    <n v="44"/>
    <s v="Female"/>
    <s v="Neurological"/>
    <s v="Oncology"/>
    <s v="Dr. Raj"/>
    <d v="2024-03-24T00:00:00"/>
    <d v="2024-04-06T00:00:00"/>
    <n v="210646"/>
    <s v="None"/>
    <x v="1"/>
    <s v="Chennai"/>
    <s v="Follow-up"/>
    <n v="2"/>
  </r>
  <r>
    <s v="P0273"/>
    <n v="57"/>
    <s v="Female"/>
    <s v="Orthopedic"/>
    <s v="General Medicine"/>
    <s v="Dr. Raj"/>
    <d v="2025-07-20T00:00:00"/>
    <d v="2025-07-31T00:00:00"/>
    <n v="109600"/>
    <s v="Private"/>
    <x v="0"/>
    <s v="Coimbatore"/>
    <s v="Under Treatment"/>
    <n v="4"/>
  </r>
  <r>
    <s v="P0274"/>
    <n v="54"/>
    <s v="Male"/>
    <s v="Infection"/>
    <s v="Cardiology"/>
    <s v="Dr. Raj"/>
    <d v="2025-01-04T00:00:00"/>
    <d v="2025-01-09T00:00:00"/>
    <n v="157521"/>
    <s v="Private"/>
    <x v="2"/>
    <s v="Chennai"/>
    <s v="Under Treatment"/>
    <n v="1"/>
  </r>
  <r>
    <s v="P0275"/>
    <n v="20"/>
    <s v="Male"/>
    <s v="Infection"/>
    <s v="Orthopedics"/>
    <s v="Dr. Arun"/>
    <d v="2025-09-18T00:00:00"/>
    <d v="2025-10-06T00:00:00"/>
    <n v="106302"/>
    <s v="None"/>
    <x v="2"/>
    <s v="Hyderabad"/>
    <s v="Under Treatment"/>
    <n v="2"/>
  </r>
  <r>
    <s v="P0276"/>
    <n v="55"/>
    <s v="Male"/>
    <s v="Orthopedic"/>
    <s v="Cardiology"/>
    <s v="Dr. Kumar"/>
    <d v="2025-10-31T00:00:00"/>
    <d v="2025-11-03T00:00:00"/>
    <n v="54873"/>
    <s v="None"/>
    <x v="2"/>
    <s v="Bangalore"/>
    <s v="Follow-up"/>
    <n v="5"/>
  </r>
  <r>
    <s v="P0277"/>
    <n v="73"/>
    <s v="Female"/>
    <s v="Neurological"/>
    <s v="Oncology"/>
    <s v="Dr. Arun"/>
    <d v="2025-07-09T00:00:00"/>
    <d v="2025-07-26T00:00:00"/>
    <n v="39462"/>
    <s v="None"/>
    <x v="3"/>
    <s v="Madurai"/>
    <s v="Recovered"/>
    <n v="4"/>
  </r>
  <r>
    <s v="P0278"/>
    <n v="30"/>
    <s v="Female"/>
    <s v="Cancer"/>
    <s v="General Medicine"/>
    <s v="Dr. Kumar"/>
    <d v="2025-12-24T00:00:00"/>
    <d v="2025-12-29T00:00:00"/>
    <n v="215999"/>
    <s v="Private"/>
    <x v="0"/>
    <s v="Hyderabad"/>
    <s v="Follow-up"/>
    <n v="1"/>
  </r>
  <r>
    <s v="P0279"/>
    <n v="79"/>
    <s v="Male"/>
    <s v="Neurological"/>
    <s v="Cardiology"/>
    <s v="Dr. Kumar"/>
    <d v="2024-03-06T00:00:00"/>
    <d v="2024-03-07T00:00:00"/>
    <n v="19381"/>
    <s v="Government"/>
    <x v="2"/>
    <s v="Chennai"/>
    <s v="Under Treatment"/>
    <n v="2"/>
  </r>
  <r>
    <s v="P0280"/>
    <n v="69"/>
    <s v="Male"/>
    <s v="Cardiac"/>
    <s v="General Medicine"/>
    <s v="Dr. Raj"/>
    <d v="2025-02-05T00:00:00"/>
    <d v="2025-02-25T00:00:00"/>
    <n v="223124"/>
    <s v="Private"/>
    <x v="1"/>
    <s v="Chennai"/>
    <s v="Follow-up"/>
    <n v="1"/>
  </r>
  <r>
    <s v="P0281"/>
    <n v="56"/>
    <s v="Male"/>
    <s v="Infection"/>
    <s v="Cardiology"/>
    <s v="Dr. Kumar"/>
    <d v="2024-01-04T00:00:00"/>
    <d v="2024-01-14T00:00:00"/>
    <n v="207247"/>
    <s v="Corporate"/>
    <x v="1"/>
    <s v="Madurai"/>
    <s v="Recovered"/>
    <n v="2"/>
  </r>
  <r>
    <s v="P0282"/>
    <n v="47"/>
    <s v="Female"/>
    <s v="Cancer"/>
    <s v="General Medicine"/>
    <s v="Dr. Kumar"/>
    <d v="2025-07-28T00:00:00"/>
    <d v="2025-08-11T00:00:00"/>
    <n v="227844"/>
    <s v="Corporate"/>
    <x v="2"/>
    <s v="Hyderabad"/>
    <s v="Under Treatment"/>
    <n v="2"/>
  </r>
  <r>
    <s v="P0283"/>
    <n v="36"/>
    <s v="Female"/>
    <s v="Infection"/>
    <s v="Pulmonology"/>
    <s v="Dr. Kumar"/>
    <d v="2025-06-07T00:00:00"/>
    <d v="2025-06-14T00:00:00"/>
    <n v="105437"/>
    <s v="Corporate"/>
    <x v="0"/>
    <s v="Madurai"/>
    <s v="Under Treatment"/>
    <n v="5"/>
  </r>
  <r>
    <s v="P0284"/>
    <n v="21"/>
    <s v="Male"/>
    <s v="Infection"/>
    <s v="General Medicine"/>
    <s v="Dr. Meena"/>
    <d v="2024-03-10T00:00:00"/>
    <d v="2024-03-16T00:00:00"/>
    <n v="148776"/>
    <s v="Government"/>
    <x v="3"/>
    <s v="Chennai"/>
    <s v="Under Treatment"/>
    <n v="1"/>
  </r>
  <r>
    <s v="P0285"/>
    <n v="37"/>
    <s v="Male"/>
    <s v="Neurological"/>
    <s v="Orthopedics"/>
    <s v="Dr. Meena"/>
    <d v="2025-02-27T00:00:00"/>
    <d v="2025-03-15T00:00:00"/>
    <n v="156107"/>
    <s v="Private"/>
    <x v="3"/>
    <s v="Madurai"/>
    <s v="Recovered"/>
    <n v="2"/>
  </r>
  <r>
    <s v="P0286"/>
    <n v="49"/>
    <s v="Female"/>
    <s v="Neurological"/>
    <s v="Cardiology"/>
    <s v="Dr. Kumar"/>
    <d v="2025-01-02T00:00:00"/>
    <d v="2025-01-15T00:00:00"/>
    <n v="26508"/>
    <s v="Corporate"/>
    <x v="1"/>
    <s v="Chennai"/>
    <s v="Recovered"/>
    <n v="1"/>
  </r>
  <r>
    <s v="P0287"/>
    <n v="67"/>
    <s v="Female"/>
    <s v="Cancer"/>
    <s v="Neurology"/>
    <s v="Dr. Kumar"/>
    <d v="2025-11-19T00:00:00"/>
    <d v="2025-11-20T00:00:00"/>
    <n v="55321"/>
    <s v="None"/>
    <x v="3"/>
    <s v="Coimbatore"/>
    <s v="Follow-up"/>
    <n v="5"/>
  </r>
  <r>
    <s v="P0288"/>
    <n v="36"/>
    <s v="Male"/>
    <s v="Infection"/>
    <s v="Cardiology"/>
    <s v="Dr. Priya"/>
    <d v="2024-08-07T00:00:00"/>
    <d v="2024-08-14T00:00:00"/>
    <n v="148543"/>
    <s v="None"/>
    <x v="0"/>
    <s v="Coimbatore"/>
    <s v="Under Treatment"/>
    <n v="3"/>
  </r>
  <r>
    <s v="P0289"/>
    <n v="54"/>
    <s v="Female"/>
    <s v="Respiratory"/>
    <s v="Oncology"/>
    <s v="Dr. Kumar"/>
    <d v="2024-01-12T00:00:00"/>
    <d v="2024-01-28T00:00:00"/>
    <n v="223362"/>
    <s v="None"/>
    <x v="0"/>
    <s v="Hyderabad"/>
    <s v="Follow-up"/>
    <n v="4"/>
  </r>
  <r>
    <s v="P0290"/>
    <n v="48"/>
    <s v="Male"/>
    <s v="Neurological"/>
    <s v="Pulmonology"/>
    <s v="Dr. Raj"/>
    <d v="2024-10-29T00:00:00"/>
    <d v="2024-11-17T00:00:00"/>
    <n v="109786"/>
    <s v="Private"/>
    <x v="1"/>
    <s v="Coimbatore"/>
    <s v="Recovered"/>
    <n v="2"/>
  </r>
  <r>
    <s v="P0291"/>
    <n v="85"/>
    <s v="Male"/>
    <s v="Neurological"/>
    <s v="Neurology"/>
    <s v="Dr. Priya"/>
    <d v="2025-08-23T00:00:00"/>
    <d v="2025-09-08T00:00:00"/>
    <n v="40711"/>
    <s v="Private"/>
    <x v="1"/>
    <s v="Hyderabad"/>
    <s v="Follow-up"/>
    <n v="5"/>
  </r>
  <r>
    <s v="P0292"/>
    <n v="34"/>
    <s v="Female"/>
    <s v="Infection"/>
    <s v="Cardiology"/>
    <s v="Dr. Raj"/>
    <d v="2024-05-06T00:00:00"/>
    <d v="2024-05-21T00:00:00"/>
    <n v="12340"/>
    <s v="None"/>
    <x v="1"/>
    <s v="Madurai"/>
    <s v="Recovered"/>
    <n v="2"/>
  </r>
  <r>
    <s v="P0293"/>
    <n v="33"/>
    <s v="Male"/>
    <s v="Infection"/>
    <s v="Neurology"/>
    <s v="Dr. Raj"/>
    <d v="2024-06-12T00:00:00"/>
    <d v="2024-06-23T00:00:00"/>
    <n v="46474"/>
    <s v="Private"/>
    <x v="1"/>
    <s v="Bangalore"/>
    <s v="Follow-up"/>
    <n v="2"/>
  </r>
  <r>
    <s v="P0294"/>
    <n v="23"/>
    <s v="Male"/>
    <s v="Infection"/>
    <s v="Oncology"/>
    <s v="Dr. Kumar"/>
    <d v="2024-07-25T00:00:00"/>
    <d v="2024-08-02T00:00:00"/>
    <n v="226113"/>
    <s v="None"/>
    <x v="0"/>
    <s v="Hyderabad"/>
    <s v="Under Treatment"/>
    <n v="5"/>
  </r>
  <r>
    <s v="P0295"/>
    <n v="82"/>
    <s v="Female"/>
    <s v="Orthopedic"/>
    <s v="Pulmonology"/>
    <s v="Dr. Raj"/>
    <d v="2024-05-24T00:00:00"/>
    <d v="2024-05-30T00:00:00"/>
    <n v="23612"/>
    <s v="None"/>
    <x v="0"/>
    <s v="Chennai"/>
    <s v="Follow-up"/>
    <n v="4"/>
  </r>
  <r>
    <s v="P0296"/>
    <n v="35"/>
    <s v="Male"/>
    <s v="Diabetes"/>
    <s v="Cardiology"/>
    <s v="Dr. Raj"/>
    <d v="2024-05-22T00:00:00"/>
    <d v="2024-05-26T00:00:00"/>
    <n v="163705"/>
    <s v="Private"/>
    <x v="0"/>
    <s v="Chennai"/>
    <s v="Recovered"/>
    <n v="5"/>
  </r>
  <r>
    <s v="P0297"/>
    <n v="66"/>
    <s v="Male"/>
    <s v="Diabetes"/>
    <s v="Orthopedics"/>
    <s v="Dr. Meena"/>
    <d v="2025-10-04T00:00:00"/>
    <d v="2025-10-21T00:00:00"/>
    <n v="5420"/>
    <s v="Government"/>
    <x v="1"/>
    <s v="Chennai"/>
    <s v="Recovered"/>
    <n v="3"/>
  </r>
  <r>
    <s v="P0298"/>
    <n v="44"/>
    <s v="Female"/>
    <s v="Cancer"/>
    <s v="Orthopedics"/>
    <s v="Dr. Arun"/>
    <d v="2025-01-09T00:00:00"/>
    <d v="2025-01-21T00:00:00"/>
    <n v="138726"/>
    <s v="Government"/>
    <x v="3"/>
    <s v="Hyderabad"/>
    <s v="Recovered"/>
    <n v="2"/>
  </r>
  <r>
    <s v="P0299"/>
    <n v="47"/>
    <s v="Female"/>
    <s v="Neurological"/>
    <s v="General Medicine"/>
    <s v="Dr. Meena"/>
    <d v="2024-08-29T00:00:00"/>
    <d v="2024-09-17T00:00:00"/>
    <n v="247092"/>
    <s v="Private"/>
    <x v="2"/>
    <s v="Coimbatore"/>
    <s v="Under Treatment"/>
    <n v="4"/>
  </r>
  <r>
    <s v="P0300"/>
    <n v="64"/>
    <s v="Male"/>
    <s v="Orthopedic"/>
    <s v="Oncology"/>
    <s v="Dr. Kumar"/>
    <d v="2025-08-27T00:00:00"/>
    <d v="2025-09-02T00:00:00"/>
    <n v="46617"/>
    <s v="Government"/>
    <x v="3"/>
    <s v="Hyderabad"/>
    <s v="Under Treatment"/>
    <n v="4"/>
  </r>
  <r>
    <s v="P0301"/>
    <n v="70"/>
    <s v="Male"/>
    <s v="Diabetes"/>
    <s v="Orthopedics"/>
    <s v="Dr. Priya"/>
    <d v="2024-03-21T00:00:00"/>
    <d v="2024-04-10T00:00:00"/>
    <n v="216958"/>
    <s v="Government"/>
    <x v="1"/>
    <s v="Hyderabad"/>
    <s v="Follow-up"/>
    <n v="2"/>
  </r>
  <r>
    <s v="P0302"/>
    <n v="58"/>
    <s v="Female"/>
    <s v="Diabetes"/>
    <s v="Cardiology"/>
    <s v="Dr. Kumar"/>
    <d v="2024-09-01T00:00:00"/>
    <d v="2024-09-05T00:00:00"/>
    <n v="35849"/>
    <s v="Corporate"/>
    <x v="3"/>
    <s v="Hyderabad"/>
    <s v="Under Treatment"/>
    <n v="1"/>
  </r>
  <r>
    <s v="P0303"/>
    <n v="63"/>
    <s v="Male"/>
    <s v="Orthopedic"/>
    <s v="Neurology"/>
    <s v="Dr. Kumar"/>
    <d v="2024-05-23T00:00:00"/>
    <d v="2024-06-06T00:00:00"/>
    <n v="113664"/>
    <s v="Corporate"/>
    <x v="3"/>
    <s v="Madurai"/>
    <s v="Under Treatment"/>
    <n v="4"/>
  </r>
  <r>
    <s v="P0304"/>
    <n v="29"/>
    <s v="Female"/>
    <s v="Cancer"/>
    <s v="General Medicine"/>
    <s v="Dr. Meena"/>
    <d v="2025-02-20T00:00:00"/>
    <d v="2025-02-23T00:00:00"/>
    <n v="95524"/>
    <s v="Government"/>
    <x v="2"/>
    <s v="Hyderabad"/>
    <s v="Recovered"/>
    <n v="1"/>
  </r>
  <r>
    <s v="P0305"/>
    <n v="21"/>
    <s v="Male"/>
    <s v="Cardiac"/>
    <s v="Cardiology"/>
    <s v="Dr. Arun"/>
    <d v="2025-05-03T00:00:00"/>
    <d v="2025-05-15T00:00:00"/>
    <n v="75753"/>
    <s v="Government"/>
    <x v="1"/>
    <s v="Hyderabad"/>
    <s v="Recovered"/>
    <n v="2"/>
  </r>
  <r>
    <s v="P0306"/>
    <n v="36"/>
    <s v="Male"/>
    <s v="Cancer"/>
    <s v="General Medicine"/>
    <s v="Dr. Priya"/>
    <d v="2024-04-29T00:00:00"/>
    <d v="2024-05-10T00:00:00"/>
    <n v="85483"/>
    <s v="Government"/>
    <x v="0"/>
    <s v="Bangalore"/>
    <s v="Recovered"/>
    <n v="4"/>
  </r>
  <r>
    <s v="P0307"/>
    <n v="47"/>
    <s v="Female"/>
    <s v="Orthopedic"/>
    <s v="Pulmonology"/>
    <s v="Dr. Kumar"/>
    <d v="2024-04-10T00:00:00"/>
    <d v="2024-04-22T00:00:00"/>
    <n v="236256"/>
    <s v="Corporate"/>
    <x v="0"/>
    <s v="Chennai"/>
    <s v="Under Treatment"/>
    <n v="4"/>
  </r>
  <r>
    <s v="P0308"/>
    <n v="54"/>
    <s v="Male"/>
    <s v="Orthopedic"/>
    <s v="Pulmonology"/>
    <s v="Dr. Raj"/>
    <d v="2024-05-24T00:00:00"/>
    <d v="2024-06-12T00:00:00"/>
    <n v="44269"/>
    <s v="Private"/>
    <x v="3"/>
    <s v="Chennai"/>
    <s v="Under Treatment"/>
    <n v="5"/>
  </r>
  <r>
    <s v="P0309"/>
    <n v="35"/>
    <s v="Male"/>
    <s v="Neurological"/>
    <s v="General Medicine"/>
    <s v="Dr. Priya"/>
    <d v="2024-10-06T00:00:00"/>
    <d v="2024-10-20T00:00:00"/>
    <n v="72383"/>
    <s v="Private"/>
    <x v="2"/>
    <s v="Hyderabad"/>
    <s v="Follow-up"/>
    <n v="2"/>
  </r>
  <r>
    <s v="P0310"/>
    <n v="69"/>
    <s v="Female"/>
    <s v="Diabetes"/>
    <s v="Neurology"/>
    <s v="Dr. Priya"/>
    <d v="2024-10-21T00:00:00"/>
    <d v="2024-10-30T00:00:00"/>
    <n v="70571"/>
    <s v="Government"/>
    <x v="1"/>
    <s v="Madurai"/>
    <s v="Follow-up"/>
    <n v="3"/>
  </r>
  <r>
    <s v="P0311"/>
    <n v="56"/>
    <s v="Male"/>
    <s v="Respiratory"/>
    <s v="Pulmonology"/>
    <s v="Dr. Meena"/>
    <d v="2024-05-25T00:00:00"/>
    <d v="2024-06-06T00:00:00"/>
    <n v="155050"/>
    <s v="Private"/>
    <x v="2"/>
    <s v="Hyderabad"/>
    <s v="Recovered"/>
    <n v="3"/>
  </r>
  <r>
    <s v="P0312"/>
    <n v="50"/>
    <s v="Female"/>
    <s v="Orthopedic"/>
    <s v="Cardiology"/>
    <s v="Dr. Meena"/>
    <d v="2025-12-24T00:00:00"/>
    <d v="2025-12-28T00:00:00"/>
    <n v="141908"/>
    <s v="Corporate"/>
    <x v="3"/>
    <s v="Bangalore"/>
    <s v="Recovered"/>
    <n v="2"/>
  </r>
  <r>
    <s v="P0313"/>
    <n v="84"/>
    <s v="Female"/>
    <s v="Respiratory"/>
    <s v="Neurology"/>
    <s v="Dr. Priya"/>
    <d v="2024-09-03T00:00:00"/>
    <d v="2024-09-10T00:00:00"/>
    <n v="165739"/>
    <s v="Government"/>
    <x v="1"/>
    <s v="Madurai"/>
    <s v="Follow-up"/>
    <n v="2"/>
  </r>
  <r>
    <s v="P0314"/>
    <n v="50"/>
    <s v="Male"/>
    <s v="Cardiac"/>
    <s v="General Medicine"/>
    <s v="Dr. Priya"/>
    <d v="2024-12-21T00:00:00"/>
    <d v="2024-12-31T00:00:00"/>
    <n v="102426"/>
    <s v="Corporate"/>
    <x v="1"/>
    <s v="Hyderabad"/>
    <s v="Follow-up"/>
    <n v="1"/>
  </r>
  <r>
    <s v="P0315"/>
    <n v="34"/>
    <s v="Male"/>
    <s v="Cardiac"/>
    <s v="General Medicine"/>
    <s v="Dr. Meena"/>
    <d v="2025-12-15T00:00:00"/>
    <d v="2025-12-31T00:00:00"/>
    <n v="54236"/>
    <s v="Government"/>
    <x v="1"/>
    <s v="Chennai"/>
    <s v="Recovered"/>
    <n v="4"/>
  </r>
  <r>
    <s v="P0316"/>
    <n v="67"/>
    <s v="Male"/>
    <s v="Infection"/>
    <s v="Oncology"/>
    <s v="Dr. Arun"/>
    <d v="2024-06-22T00:00:00"/>
    <d v="2024-07-05T00:00:00"/>
    <n v="24994"/>
    <s v="Private"/>
    <x v="1"/>
    <s v="Coimbatore"/>
    <s v="Recovered"/>
    <n v="3"/>
  </r>
  <r>
    <s v="P0317"/>
    <n v="73"/>
    <s v="Male"/>
    <s v="Cancer"/>
    <s v="Oncology"/>
    <s v="Dr. Priya"/>
    <d v="2025-02-09T00:00:00"/>
    <d v="2025-02-26T00:00:00"/>
    <n v="50674"/>
    <s v="Private"/>
    <x v="0"/>
    <s v="Chennai"/>
    <s v="Recovered"/>
    <n v="4"/>
  </r>
  <r>
    <s v="P0318"/>
    <n v="85"/>
    <s v="Male"/>
    <s v="Orthopedic"/>
    <s v="Pulmonology"/>
    <s v="Dr. Priya"/>
    <d v="2025-01-13T00:00:00"/>
    <d v="2025-01-20T00:00:00"/>
    <n v="38158"/>
    <s v="Private"/>
    <x v="0"/>
    <s v="Chennai"/>
    <s v="Recovered"/>
    <n v="3"/>
  </r>
  <r>
    <s v="P0319"/>
    <n v="26"/>
    <s v="Male"/>
    <s v="Diabetes"/>
    <s v="General Medicine"/>
    <s v="Dr. Kumar"/>
    <d v="2025-07-22T00:00:00"/>
    <d v="2025-07-29T00:00:00"/>
    <n v="41745"/>
    <s v="Government"/>
    <x v="3"/>
    <s v="Chennai"/>
    <s v="Under Treatment"/>
    <n v="5"/>
  </r>
  <r>
    <s v="P0320"/>
    <n v="81"/>
    <s v="Male"/>
    <s v="Cancer"/>
    <s v="Cardiology"/>
    <s v="Dr. Meena"/>
    <d v="2025-01-16T00:00:00"/>
    <d v="2025-01-23T00:00:00"/>
    <n v="214498"/>
    <s v="None"/>
    <x v="3"/>
    <s v="Coimbatore"/>
    <s v="Under Treatment"/>
    <n v="1"/>
  </r>
  <r>
    <s v="P0321"/>
    <n v="76"/>
    <s v="Male"/>
    <s v="Cancer"/>
    <s v="Pulmonology"/>
    <s v="Dr. Kumar"/>
    <d v="2025-04-21T00:00:00"/>
    <d v="2025-05-01T00:00:00"/>
    <n v="94080"/>
    <s v="Corporate"/>
    <x v="1"/>
    <s v="Madurai"/>
    <s v="Recovered"/>
    <n v="2"/>
  </r>
  <r>
    <s v="P0322"/>
    <n v="85"/>
    <s v="Female"/>
    <s v="Respiratory"/>
    <s v="Cardiology"/>
    <s v="Dr. Raj"/>
    <d v="2024-02-16T00:00:00"/>
    <d v="2024-02-18T00:00:00"/>
    <n v="30957"/>
    <s v="Private"/>
    <x v="0"/>
    <s v="Madurai"/>
    <s v="Recovered"/>
    <n v="1"/>
  </r>
  <r>
    <s v="P0323"/>
    <n v="47"/>
    <s v="Female"/>
    <s v="Respiratory"/>
    <s v="Cardiology"/>
    <s v="Dr. Kumar"/>
    <d v="2025-06-29T00:00:00"/>
    <d v="2025-07-04T00:00:00"/>
    <n v="94656"/>
    <s v="Private"/>
    <x v="0"/>
    <s v="Madurai"/>
    <s v="Under Treatment"/>
    <n v="5"/>
  </r>
  <r>
    <s v="P0324"/>
    <n v="71"/>
    <s v="Male"/>
    <s v="Cancer"/>
    <s v="Pulmonology"/>
    <s v="Dr. Meena"/>
    <d v="2025-08-25T00:00:00"/>
    <d v="2025-09-08T00:00:00"/>
    <n v="137926"/>
    <s v="Government"/>
    <x v="0"/>
    <s v="Madurai"/>
    <s v="Under Treatment"/>
    <n v="3"/>
  </r>
  <r>
    <s v="P0325"/>
    <n v="43"/>
    <s v="Male"/>
    <s v="Orthopedic"/>
    <s v="Neurology"/>
    <s v="Dr. Meena"/>
    <d v="2025-08-22T00:00:00"/>
    <d v="2025-09-04T00:00:00"/>
    <n v="154312"/>
    <s v="Government"/>
    <x v="1"/>
    <s v="Hyderabad"/>
    <s v="Under Treatment"/>
    <n v="1"/>
  </r>
  <r>
    <s v="P0326"/>
    <n v="22"/>
    <s v="Female"/>
    <s v="Orthopedic"/>
    <s v="Pulmonology"/>
    <s v="Dr. Priya"/>
    <d v="2025-02-28T00:00:00"/>
    <d v="2025-03-13T00:00:00"/>
    <n v="105648"/>
    <s v="Government"/>
    <x v="0"/>
    <s v="Chennai"/>
    <s v="Follow-up"/>
    <n v="2"/>
  </r>
  <r>
    <s v="P0327"/>
    <n v="48"/>
    <s v="Female"/>
    <s v="Neurological"/>
    <s v="Cardiology"/>
    <s v="Dr. Raj"/>
    <d v="2025-07-04T00:00:00"/>
    <d v="2025-07-07T00:00:00"/>
    <n v="177201"/>
    <s v="None"/>
    <x v="0"/>
    <s v="Bangalore"/>
    <s v="Follow-up"/>
    <n v="4"/>
  </r>
  <r>
    <s v="P0328"/>
    <n v="76"/>
    <s v="Female"/>
    <s v="Cancer"/>
    <s v="Orthopedics"/>
    <s v="Dr. Arun"/>
    <d v="2024-05-19T00:00:00"/>
    <d v="2024-06-02T00:00:00"/>
    <n v="150142"/>
    <s v="Corporate"/>
    <x v="3"/>
    <s v="Chennai"/>
    <s v="Under Treatment"/>
    <n v="2"/>
  </r>
  <r>
    <s v="P0329"/>
    <n v="57"/>
    <s v="Male"/>
    <s v="Infection"/>
    <s v="Neurology"/>
    <s v="Dr. Meena"/>
    <d v="2024-06-08T00:00:00"/>
    <d v="2024-06-27T00:00:00"/>
    <n v="35288"/>
    <s v="None"/>
    <x v="0"/>
    <s v="Bangalore"/>
    <s v="Follow-up"/>
    <n v="2"/>
  </r>
  <r>
    <s v="P0330"/>
    <n v="69"/>
    <s v="Male"/>
    <s v="Orthopedic"/>
    <s v="Orthopedics"/>
    <s v="Dr. Meena"/>
    <d v="2025-06-15T00:00:00"/>
    <d v="2025-06-16T00:00:00"/>
    <n v="185772"/>
    <s v="Government"/>
    <x v="3"/>
    <s v="Bangalore"/>
    <s v="Under Treatment"/>
    <n v="3"/>
  </r>
  <r>
    <s v="P0331"/>
    <n v="43"/>
    <s v="Female"/>
    <s v="Orthopedic"/>
    <s v="Oncology"/>
    <s v="Dr. Raj"/>
    <d v="2024-05-31T00:00:00"/>
    <d v="2024-06-10T00:00:00"/>
    <n v="164887"/>
    <s v="Private"/>
    <x v="2"/>
    <s v="Hyderabad"/>
    <s v="Recovered"/>
    <n v="1"/>
  </r>
  <r>
    <s v="P0332"/>
    <n v="32"/>
    <s v="Female"/>
    <s v="Neurological"/>
    <s v="Oncology"/>
    <s v="Dr. Arun"/>
    <d v="2024-04-22T00:00:00"/>
    <d v="2024-05-09T00:00:00"/>
    <n v="214604"/>
    <s v="Corporate"/>
    <x v="2"/>
    <s v="Madurai"/>
    <s v="Follow-up"/>
    <n v="4"/>
  </r>
  <r>
    <s v="P0333"/>
    <n v="18"/>
    <s v="Female"/>
    <s v="Orthopedic"/>
    <s v="Cardiology"/>
    <s v="Dr. Meena"/>
    <d v="2024-09-19T00:00:00"/>
    <d v="2024-09-25T00:00:00"/>
    <n v="69620"/>
    <s v="Private"/>
    <x v="2"/>
    <s v="Chennai"/>
    <s v="Under Treatment"/>
    <n v="3"/>
  </r>
  <r>
    <s v="P0334"/>
    <n v="21"/>
    <s v="Female"/>
    <s v="Cardiac"/>
    <s v="Pulmonology"/>
    <s v="Dr. Kumar"/>
    <d v="2025-02-01T00:00:00"/>
    <d v="2025-02-21T00:00:00"/>
    <n v="163077"/>
    <s v="Government"/>
    <x v="2"/>
    <s v="Chennai"/>
    <s v="Under Treatment"/>
    <n v="2"/>
  </r>
  <r>
    <s v="P0335"/>
    <n v="61"/>
    <s v="Male"/>
    <s v="Cancer"/>
    <s v="Neurology"/>
    <s v="Dr. Arun"/>
    <d v="2025-01-20T00:00:00"/>
    <d v="2025-02-03T00:00:00"/>
    <n v="73062"/>
    <s v="Private"/>
    <x v="3"/>
    <s v="Madurai"/>
    <s v="Under Treatment"/>
    <n v="5"/>
  </r>
  <r>
    <s v="P0336"/>
    <n v="69"/>
    <s v="Female"/>
    <s v="Cancer"/>
    <s v="Neurology"/>
    <s v="Dr. Priya"/>
    <d v="2025-02-18T00:00:00"/>
    <d v="2025-02-19T00:00:00"/>
    <n v="55743"/>
    <s v="None"/>
    <x v="1"/>
    <s v="Hyderabad"/>
    <s v="Follow-up"/>
    <n v="2"/>
  </r>
  <r>
    <s v="P0337"/>
    <n v="39"/>
    <s v="Female"/>
    <s v="Diabetes"/>
    <s v="Pulmonology"/>
    <s v="Dr. Raj"/>
    <d v="2024-06-30T00:00:00"/>
    <d v="2024-07-08T00:00:00"/>
    <n v="99443"/>
    <s v="Private"/>
    <x v="0"/>
    <s v="Hyderabad"/>
    <s v="Under Treatment"/>
    <n v="4"/>
  </r>
  <r>
    <s v="P0338"/>
    <n v="77"/>
    <s v="Male"/>
    <s v="Orthopedic"/>
    <s v="Cardiology"/>
    <s v="Dr. Arun"/>
    <d v="2024-05-11T00:00:00"/>
    <d v="2024-05-31T00:00:00"/>
    <n v="138050"/>
    <s v="Government"/>
    <x v="0"/>
    <s v="Madurai"/>
    <s v="Under Treatment"/>
    <n v="5"/>
  </r>
  <r>
    <s v="P0339"/>
    <n v="83"/>
    <s v="Male"/>
    <s v="Orthopedic"/>
    <s v="Cardiology"/>
    <s v="Dr. Raj"/>
    <d v="2025-08-01T00:00:00"/>
    <d v="2025-08-05T00:00:00"/>
    <n v="10835"/>
    <s v="None"/>
    <x v="1"/>
    <s v="Madurai"/>
    <s v="Recovered"/>
    <n v="5"/>
  </r>
  <r>
    <s v="P0340"/>
    <n v="34"/>
    <s v="Male"/>
    <s v="Diabetes"/>
    <s v="Orthopedics"/>
    <s v="Dr. Raj"/>
    <d v="2025-12-23T00:00:00"/>
    <d v="2025-12-25T00:00:00"/>
    <n v="125891"/>
    <s v="Government"/>
    <x v="3"/>
    <s v="Madurai"/>
    <s v="Recovered"/>
    <n v="3"/>
  </r>
  <r>
    <s v="P0341"/>
    <n v="52"/>
    <s v="Female"/>
    <s v="Cancer"/>
    <s v="Oncology"/>
    <s v="Dr. Meena"/>
    <d v="2025-12-01T00:00:00"/>
    <d v="2025-12-08T00:00:00"/>
    <n v="13275"/>
    <s v="Government"/>
    <x v="2"/>
    <s v="Hyderabad"/>
    <s v="Recovered"/>
    <n v="2"/>
  </r>
  <r>
    <s v="P0342"/>
    <n v="61"/>
    <s v="Female"/>
    <s v="Diabetes"/>
    <s v="Neurology"/>
    <s v="Dr. Raj"/>
    <d v="2024-09-13T00:00:00"/>
    <d v="2024-09-18T00:00:00"/>
    <n v="218676"/>
    <s v="Corporate"/>
    <x v="1"/>
    <s v="Madurai"/>
    <s v="Recovered"/>
    <n v="3"/>
  </r>
  <r>
    <s v="P0343"/>
    <n v="54"/>
    <s v="Male"/>
    <s v="Respiratory"/>
    <s v="General Medicine"/>
    <s v="Dr. Meena"/>
    <d v="2025-03-02T00:00:00"/>
    <d v="2025-03-19T00:00:00"/>
    <n v="9197"/>
    <s v="None"/>
    <x v="2"/>
    <s v="Coimbatore"/>
    <s v="Under Treatment"/>
    <n v="4"/>
  </r>
  <r>
    <s v="P0344"/>
    <n v="22"/>
    <s v="Male"/>
    <s v="Cancer"/>
    <s v="Orthopedics"/>
    <s v="Dr. Priya"/>
    <d v="2024-09-26T00:00:00"/>
    <d v="2024-10-11T00:00:00"/>
    <n v="245726"/>
    <s v="Corporate"/>
    <x v="2"/>
    <s v="Madurai"/>
    <s v="Follow-up"/>
    <n v="1"/>
  </r>
  <r>
    <s v="P0345"/>
    <n v="34"/>
    <s v="Female"/>
    <s v="Diabetes"/>
    <s v="General Medicine"/>
    <s v="Dr. Kumar"/>
    <d v="2024-01-25T00:00:00"/>
    <d v="2024-02-05T00:00:00"/>
    <n v="149552"/>
    <s v="Government"/>
    <x v="2"/>
    <s v="Hyderabad"/>
    <s v="Recovered"/>
    <n v="3"/>
  </r>
  <r>
    <s v="P0346"/>
    <n v="70"/>
    <s v="Male"/>
    <s v="Cardiac"/>
    <s v="General Medicine"/>
    <s v="Dr. Arun"/>
    <d v="2025-06-05T00:00:00"/>
    <d v="2025-06-15T00:00:00"/>
    <n v="55227"/>
    <s v="Government"/>
    <x v="0"/>
    <s v="Bangalore"/>
    <s v="Under Treatment"/>
    <n v="1"/>
  </r>
  <r>
    <s v="P0347"/>
    <n v="78"/>
    <s v="Male"/>
    <s v="Infection"/>
    <s v="Oncology"/>
    <s v="Dr. Raj"/>
    <d v="2024-03-03T00:00:00"/>
    <d v="2024-03-21T00:00:00"/>
    <n v="211021"/>
    <s v="None"/>
    <x v="2"/>
    <s v="Madurai"/>
    <s v="Under Treatment"/>
    <n v="4"/>
  </r>
  <r>
    <s v="P0348"/>
    <n v="41"/>
    <s v="Male"/>
    <s v="Infection"/>
    <s v="Pulmonology"/>
    <s v="Dr. Meena"/>
    <d v="2024-01-13T00:00:00"/>
    <d v="2024-02-02T00:00:00"/>
    <n v="47640"/>
    <s v="None"/>
    <x v="3"/>
    <s v="Hyderabad"/>
    <s v="Follow-up"/>
    <n v="1"/>
  </r>
  <r>
    <s v="P0349"/>
    <n v="34"/>
    <s v="Male"/>
    <s v="Diabetes"/>
    <s v="General Medicine"/>
    <s v="Dr. Raj"/>
    <d v="2024-06-21T00:00:00"/>
    <d v="2024-06-29T00:00:00"/>
    <n v="188598"/>
    <s v="Corporate"/>
    <x v="1"/>
    <s v="Madurai"/>
    <s v="Follow-up"/>
    <n v="1"/>
  </r>
  <r>
    <s v="P0350"/>
    <n v="60"/>
    <s v="Female"/>
    <s v="Diabetes"/>
    <s v="General Medicine"/>
    <s v="Dr. Raj"/>
    <d v="2025-11-17T00:00:00"/>
    <d v="2025-12-03T00:00:00"/>
    <n v="7579"/>
    <s v="Government"/>
    <x v="3"/>
    <s v="Chennai"/>
    <s v="Under Treatment"/>
    <n v="3"/>
  </r>
  <r>
    <s v="P0351"/>
    <n v="24"/>
    <s v="Female"/>
    <s v="Orthopedic"/>
    <s v="Pulmonology"/>
    <s v="Dr. Kumar"/>
    <d v="2024-11-01T00:00:00"/>
    <d v="2024-11-11T00:00:00"/>
    <n v="51996"/>
    <s v="Government"/>
    <x v="2"/>
    <s v="Hyderabad"/>
    <s v="Recovered"/>
    <n v="5"/>
  </r>
  <r>
    <s v="P0352"/>
    <n v="63"/>
    <s v="Male"/>
    <s v="Neurological"/>
    <s v="Oncology"/>
    <s v="Dr. Meena"/>
    <d v="2024-11-15T00:00:00"/>
    <d v="2024-11-24T00:00:00"/>
    <n v="150913"/>
    <s v="None"/>
    <x v="3"/>
    <s v="Coimbatore"/>
    <s v="Follow-up"/>
    <n v="2"/>
  </r>
  <r>
    <s v="P0353"/>
    <n v="69"/>
    <s v="Female"/>
    <s v="Infection"/>
    <s v="Oncology"/>
    <s v="Dr. Arun"/>
    <d v="2024-02-25T00:00:00"/>
    <d v="2024-03-08T00:00:00"/>
    <n v="112515"/>
    <s v="Government"/>
    <x v="2"/>
    <s v="Bangalore"/>
    <s v="Follow-up"/>
    <n v="3"/>
  </r>
  <r>
    <s v="P0354"/>
    <n v="48"/>
    <s v="Female"/>
    <s v="Orthopedic"/>
    <s v="Orthopedics"/>
    <s v="Dr. Meena"/>
    <d v="2025-05-23T00:00:00"/>
    <d v="2025-05-25T00:00:00"/>
    <n v="209686"/>
    <s v="Government"/>
    <x v="0"/>
    <s v="Madurai"/>
    <s v="Follow-up"/>
    <n v="3"/>
  </r>
  <r>
    <s v="P0355"/>
    <n v="79"/>
    <s v="Female"/>
    <s v="Infection"/>
    <s v="Cardiology"/>
    <s v="Dr. Priya"/>
    <d v="2025-05-31T00:00:00"/>
    <d v="2025-06-01T00:00:00"/>
    <n v="104658"/>
    <s v="None"/>
    <x v="0"/>
    <s v="Madurai"/>
    <s v="Under Treatment"/>
    <n v="5"/>
  </r>
  <r>
    <s v="P0356"/>
    <n v="84"/>
    <s v="Male"/>
    <s v="Diabetes"/>
    <s v="Orthopedics"/>
    <s v="Dr. Raj"/>
    <d v="2024-10-22T00:00:00"/>
    <d v="2024-10-26T00:00:00"/>
    <n v="233294"/>
    <s v="Private"/>
    <x v="1"/>
    <s v="Coimbatore"/>
    <s v="Follow-up"/>
    <n v="4"/>
  </r>
  <r>
    <s v="P0357"/>
    <n v="63"/>
    <s v="Female"/>
    <s v="Diabetes"/>
    <s v="Pulmonology"/>
    <s v="Dr. Priya"/>
    <d v="2024-06-07T00:00:00"/>
    <d v="2024-06-22T00:00:00"/>
    <n v="85002"/>
    <s v="Government"/>
    <x v="1"/>
    <s v="Bangalore"/>
    <s v="Under Treatment"/>
    <n v="5"/>
  </r>
  <r>
    <s v="P0358"/>
    <n v="52"/>
    <s v="Male"/>
    <s v="Infection"/>
    <s v="General Medicine"/>
    <s v="Dr. Priya"/>
    <d v="2025-09-27T00:00:00"/>
    <d v="2025-10-06T00:00:00"/>
    <n v="11924"/>
    <s v="Government"/>
    <x v="3"/>
    <s v="Chennai"/>
    <s v="Under Treatment"/>
    <n v="4"/>
  </r>
  <r>
    <s v="P0359"/>
    <n v="23"/>
    <s v="Female"/>
    <s v="Neurological"/>
    <s v="Neurology"/>
    <s v="Dr. Arun"/>
    <d v="2024-01-10T00:00:00"/>
    <d v="2024-01-22T00:00:00"/>
    <n v="146084"/>
    <s v="None"/>
    <x v="0"/>
    <s v="Hyderabad"/>
    <s v="Under Treatment"/>
    <n v="3"/>
  </r>
  <r>
    <s v="P0360"/>
    <n v="53"/>
    <s v="Male"/>
    <s v="Diabetes"/>
    <s v="Cardiology"/>
    <s v="Dr. Kumar"/>
    <d v="2025-09-20T00:00:00"/>
    <d v="2025-10-02T00:00:00"/>
    <n v="134687"/>
    <s v="None"/>
    <x v="3"/>
    <s v="Madurai"/>
    <s v="Follow-up"/>
    <n v="4"/>
  </r>
  <r>
    <s v="P0361"/>
    <n v="46"/>
    <s v="Female"/>
    <s v="Diabetes"/>
    <s v="Cardiology"/>
    <s v="Dr. Meena"/>
    <d v="2025-11-10T00:00:00"/>
    <d v="2025-11-16T00:00:00"/>
    <n v="94141"/>
    <s v="Private"/>
    <x v="0"/>
    <s v="Madurai"/>
    <s v="Under Treatment"/>
    <n v="2"/>
  </r>
  <r>
    <s v="P0362"/>
    <n v="25"/>
    <s v="Female"/>
    <s v="Diabetes"/>
    <s v="Oncology"/>
    <s v="Dr. Arun"/>
    <d v="2025-04-11T00:00:00"/>
    <d v="2025-04-22T00:00:00"/>
    <n v="15695"/>
    <s v="Government"/>
    <x v="0"/>
    <s v="Coimbatore"/>
    <s v="Follow-up"/>
    <n v="3"/>
  </r>
  <r>
    <s v="P0363"/>
    <n v="30"/>
    <s v="Male"/>
    <s v="Orthopedic"/>
    <s v="Cardiology"/>
    <s v="Dr. Arun"/>
    <d v="2025-01-19T00:00:00"/>
    <d v="2025-01-25T00:00:00"/>
    <n v="26973"/>
    <s v="None"/>
    <x v="3"/>
    <s v="Hyderabad"/>
    <s v="Follow-up"/>
    <n v="3"/>
  </r>
  <r>
    <s v="P0364"/>
    <n v="24"/>
    <s v="Female"/>
    <s v="Neurological"/>
    <s v="Oncology"/>
    <s v="Dr. Arun"/>
    <d v="2024-02-10T00:00:00"/>
    <d v="2024-03-01T00:00:00"/>
    <n v="238947"/>
    <s v="Corporate"/>
    <x v="3"/>
    <s v="Madurai"/>
    <s v="Under Treatment"/>
    <n v="5"/>
  </r>
  <r>
    <s v="P0365"/>
    <n v="36"/>
    <s v="Female"/>
    <s v="Infection"/>
    <s v="Cardiology"/>
    <s v="Dr. Kumar"/>
    <d v="2024-07-29T00:00:00"/>
    <d v="2024-08-01T00:00:00"/>
    <n v="79997"/>
    <s v="Private"/>
    <x v="0"/>
    <s v="Madurai"/>
    <s v="Recovered"/>
    <n v="3"/>
  </r>
  <r>
    <s v="P0366"/>
    <n v="34"/>
    <s v="Female"/>
    <s v="Cardiac"/>
    <s v="General Medicine"/>
    <s v="Dr. Arun"/>
    <d v="2024-05-16T00:00:00"/>
    <d v="2024-05-31T00:00:00"/>
    <n v="35703"/>
    <s v="Corporate"/>
    <x v="0"/>
    <s v="Chennai"/>
    <s v="Recovered"/>
    <n v="4"/>
  </r>
  <r>
    <s v="P0367"/>
    <n v="41"/>
    <s v="Female"/>
    <s v="Orthopedic"/>
    <s v="Pulmonology"/>
    <s v="Dr. Kumar"/>
    <d v="2024-07-06T00:00:00"/>
    <d v="2024-07-15T00:00:00"/>
    <n v="47032"/>
    <s v="Corporate"/>
    <x v="1"/>
    <s v="Chennai"/>
    <s v="Under Treatment"/>
    <n v="2"/>
  </r>
  <r>
    <s v="P0368"/>
    <n v="73"/>
    <s v="Female"/>
    <s v="Infection"/>
    <s v="General Medicine"/>
    <s v="Dr. Priya"/>
    <d v="2024-04-21T00:00:00"/>
    <d v="2024-04-24T00:00:00"/>
    <n v="231978"/>
    <s v="Private"/>
    <x v="2"/>
    <s v="Chennai"/>
    <s v="Under Treatment"/>
    <n v="4"/>
  </r>
  <r>
    <s v="P0369"/>
    <n v="66"/>
    <s v="Male"/>
    <s v="Respiratory"/>
    <s v="General Medicine"/>
    <s v="Dr. Meena"/>
    <d v="2025-06-06T00:00:00"/>
    <d v="2025-06-08T00:00:00"/>
    <n v="181309"/>
    <s v="Private"/>
    <x v="1"/>
    <s v="Chennai"/>
    <s v="Recovered"/>
    <n v="5"/>
  </r>
  <r>
    <s v="P0370"/>
    <n v="74"/>
    <s v="Female"/>
    <s v="Respiratory"/>
    <s v="General Medicine"/>
    <s v="Dr. Kumar"/>
    <d v="2024-01-15T00:00:00"/>
    <d v="2024-01-24T00:00:00"/>
    <n v="58995"/>
    <s v="Private"/>
    <x v="0"/>
    <s v="Bangalore"/>
    <s v="Recovered"/>
    <n v="2"/>
  </r>
  <r>
    <s v="P0371"/>
    <n v="73"/>
    <s v="Female"/>
    <s v="Diabetes"/>
    <s v="Cardiology"/>
    <s v="Dr. Arun"/>
    <d v="2024-05-18T00:00:00"/>
    <d v="2024-06-03T00:00:00"/>
    <n v="42592"/>
    <s v="Government"/>
    <x v="0"/>
    <s v="Coimbatore"/>
    <s v="Under Treatment"/>
    <n v="4"/>
  </r>
  <r>
    <s v="P0372"/>
    <n v="47"/>
    <s v="Female"/>
    <s v="Infection"/>
    <s v="Orthopedics"/>
    <s v="Dr. Raj"/>
    <d v="2024-02-22T00:00:00"/>
    <d v="2024-03-13T00:00:00"/>
    <n v="186335"/>
    <s v="Government"/>
    <x v="1"/>
    <s v="Coimbatore"/>
    <s v="Under Treatment"/>
    <n v="1"/>
  </r>
  <r>
    <s v="P0373"/>
    <n v="24"/>
    <s v="Female"/>
    <s v="Respiratory"/>
    <s v="General Medicine"/>
    <s v="Dr. Kumar"/>
    <d v="2025-03-24T00:00:00"/>
    <d v="2025-04-02T00:00:00"/>
    <n v="161605"/>
    <s v="Private"/>
    <x v="2"/>
    <s v="Chennai"/>
    <s v="Follow-up"/>
    <n v="2"/>
  </r>
  <r>
    <s v="P0374"/>
    <n v="30"/>
    <s v="Male"/>
    <s v="Cardiac"/>
    <s v="Neurology"/>
    <s v="Dr. Priya"/>
    <d v="2024-02-20T00:00:00"/>
    <d v="2024-03-10T00:00:00"/>
    <n v="65037"/>
    <s v="Corporate"/>
    <x v="1"/>
    <s v="Chennai"/>
    <s v="Under Treatment"/>
    <n v="5"/>
  </r>
  <r>
    <s v="P0375"/>
    <n v="51"/>
    <s v="Male"/>
    <s v="Orthopedic"/>
    <s v="Pulmonology"/>
    <s v="Dr. Meena"/>
    <d v="2024-02-26T00:00:00"/>
    <d v="2024-03-04T00:00:00"/>
    <n v="82298"/>
    <s v="Corporate"/>
    <x v="1"/>
    <s v="Madurai"/>
    <s v="Follow-up"/>
    <n v="4"/>
  </r>
  <r>
    <s v="P0376"/>
    <n v="73"/>
    <s v="Male"/>
    <s v="Diabetes"/>
    <s v="General Medicine"/>
    <s v="Dr. Raj"/>
    <d v="2025-07-30T00:00:00"/>
    <d v="2025-08-18T00:00:00"/>
    <n v="123563"/>
    <s v="Corporate"/>
    <x v="2"/>
    <s v="Chennai"/>
    <s v="Follow-up"/>
    <n v="2"/>
  </r>
  <r>
    <s v="P0377"/>
    <n v="79"/>
    <s v="Female"/>
    <s v="Neurological"/>
    <s v="Oncology"/>
    <s v="Dr. Priya"/>
    <d v="2024-06-02T00:00:00"/>
    <d v="2024-06-08T00:00:00"/>
    <n v="150242"/>
    <s v="Private"/>
    <x v="0"/>
    <s v="Bangalore"/>
    <s v="Recovered"/>
    <n v="4"/>
  </r>
  <r>
    <s v="P0378"/>
    <n v="72"/>
    <s v="Female"/>
    <s v="Cancer"/>
    <s v="Pulmonology"/>
    <s v="Dr. Raj"/>
    <d v="2025-06-11T00:00:00"/>
    <d v="2025-06-14T00:00:00"/>
    <n v="90839"/>
    <s v="Government"/>
    <x v="2"/>
    <s v="Bangalore"/>
    <s v="Under Treatment"/>
    <n v="2"/>
  </r>
  <r>
    <s v="P0379"/>
    <n v="29"/>
    <s v="Male"/>
    <s v="Cardiac"/>
    <s v="Neurology"/>
    <s v="Dr. Raj"/>
    <d v="2025-04-05T00:00:00"/>
    <d v="2025-04-20T00:00:00"/>
    <n v="188240"/>
    <s v="Government"/>
    <x v="3"/>
    <s v="Coimbatore"/>
    <s v="Recovered"/>
    <n v="5"/>
  </r>
  <r>
    <s v="P0380"/>
    <n v="54"/>
    <s v="Male"/>
    <s v="Infection"/>
    <s v="General Medicine"/>
    <s v="Dr. Raj"/>
    <d v="2025-02-14T00:00:00"/>
    <d v="2025-02-24T00:00:00"/>
    <n v="230199"/>
    <s v="None"/>
    <x v="1"/>
    <s v="Bangalore"/>
    <s v="Recovered"/>
    <n v="5"/>
  </r>
  <r>
    <s v="P0381"/>
    <n v="29"/>
    <s v="Female"/>
    <s v="Respiratory"/>
    <s v="Orthopedics"/>
    <s v="Dr. Arun"/>
    <d v="2025-05-16T00:00:00"/>
    <d v="2025-05-25T00:00:00"/>
    <n v="47197"/>
    <s v="Private"/>
    <x v="0"/>
    <s v="Hyderabad"/>
    <s v="Under Treatment"/>
    <n v="4"/>
  </r>
  <r>
    <s v="P0382"/>
    <n v="30"/>
    <s v="Female"/>
    <s v="Neurological"/>
    <s v="Oncology"/>
    <s v="Dr. Kumar"/>
    <d v="2024-05-27T00:00:00"/>
    <d v="2024-06-11T00:00:00"/>
    <n v="97393"/>
    <s v="Government"/>
    <x v="3"/>
    <s v="Madurai"/>
    <s v="Follow-up"/>
    <n v="3"/>
  </r>
  <r>
    <s v="P0383"/>
    <n v="24"/>
    <s v="Female"/>
    <s v="Neurological"/>
    <s v="Neurology"/>
    <s v="Dr. Priya"/>
    <d v="2024-04-22T00:00:00"/>
    <d v="2024-05-12T00:00:00"/>
    <n v="157210"/>
    <s v="Corporate"/>
    <x v="2"/>
    <s v="Chennai"/>
    <s v="Recovered"/>
    <n v="3"/>
  </r>
  <r>
    <s v="P0384"/>
    <n v="31"/>
    <s v="Female"/>
    <s v="Cardiac"/>
    <s v="Pulmonology"/>
    <s v="Dr. Arun"/>
    <d v="2025-09-06T00:00:00"/>
    <d v="2025-09-13T00:00:00"/>
    <n v="116718"/>
    <s v="Private"/>
    <x v="0"/>
    <s v="Bangalore"/>
    <s v="Follow-up"/>
    <n v="5"/>
  </r>
  <r>
    <s v="P0385"/>
    <n v="33"/>
    <s v="Female"/>
    <s v="Infection"/>
    <s v="General Medicine"/>
    <s v="Dr. Meena"/>
    <d v="2025-01-12T00:00:00"/>
    <d v="2025-01-20T00:00:00"/>
    <n v="159013"/>
    <s v="Corporate"/>
    <x v="0"/>
    <s v="Chennai"/>
    <s v="Under Treatment"/>
    <n v="2"/>
  </r>
  <r>
    <s v="P0386"/>
    <n v="52"/>
    <s v="Female"/>
    <s v="Infection"/>
    <s v="Cardiology"/>
    <s v="Dr. Priya"/>
    <d v="2024-03-02T00:00:00"/>
    <d v="2024-03-11T00:00:00"/>
    <n v="74196"/>
    <s v="Private"/>
    <x v="2"/>
    <s v="Coimbatore"/>
    <s v="Under Treatment"/>
    <n v="3"/>
  </r>
  <r>
    <s v="P0387"/>
    <n v="41"/>
    <s v="Female"/>
    <s v="Respiratory"/>
    <s v="Pulmonology"/>
    <s v="Dr. Raj"/>
    <d v="2024-04-03T00:00:00"/>
    <d v="2024-04-07T00:00:00"/>
    <n v="116249"/>
    <s v="Private"/>
    <x v="1"/>
    <s v="Bangalore"/>
    <s v="Under Treatment"/>
    <n v="1"/>
  </r>
  <r>
    <s v="P0388"/>
    <n v="61"/>
    <s v="Female"/>
    <s v="Respiratory"/>
    <s v="Cardiology"/>
    <s v="Dr. Meena"/>
    <d v="2025-03-21T00:00:00"/>
    <d v="2025-04-10T00:00:00"/>
    <n v="226432"/>
    <s v="Corporate"/>
    <x v="2"/>
    <s v="Hyderabad"/>
    <s v="Under Treatment"/>
    <n v="4"/>
  </r>
  <r>
    <s v="P0389"/>
    <n v="53"/>
    <s v="Male"/>
    <s v="Respiratory"/>
    <s v="Oncology"/>
    <s v="Dr. Meena"/>
    <d v="2025-07-26T00:00:00"/>
    <d v="2025-08-14T00:00:00"/>
    <n v="205134"/>
    <s v="Government"/>
    <x v="0"/>
    <s v="Chennai"/>
    <s v="Recovered"/>
    <n v="3"/>
  </r>
  <r>
    <s v="P0390"/>
    <n v="64"/>
    <s v="Male"/>
    <s v="Neurological"/>
    <s v="Oncology"/>
    <s v="Dr. Priya"/>
    <d v="2024-03-20T00:00:00"/>
    <d v="2024-03-29T00:00:00"/>
    <n v="131405"/>
    <s v="None"/>
    <x v="3"/>
    <s v="Coimbatore"/>
    <s v="Under Treatment"/>
    <n v="3"/>
  </r>
  <r>
    <s v="P0391"/>
    <n v="41"/>
    <s v="Male"/>
    <s v="Neurological"/>
    <s v="General Medicine"/>
    <s v="Dr. Kumar"/>
    <d v="2024-02-07T00:00:00"/>
    <d v="2024-02-15T00:00:00"/>
    <n v="185804"/>
    <s v="Government"/>
    <x v="0"/>
    <s v="Coimbatore"/>
    <s v="Recovered"/>
    <n v="4"/>
  </r>
  <r>
    <s v="P0392"/>
    <n v="55"/>
    <s v="Female"/>
    <s v="Cardiac"/>
    <s v="Neurology"/>
    <s v="Dr. Meena"/>
    <d v="2024-05-05T00:00:00"/>
    <d v="2024-05-10T00:00:00"/>
    <n v="78331"/>
    <s v="Private"/>
    <x v="3"/>
    <s v="Madurai"/>
    <s v="Follow-up"/>
    <n v="1"/>
  </r>
  <r>
    <s v="P0393"/>
    <n v="61"/>
    <s v="Male"/>
    <s v="Respiratory"/>
    <s v="Neurology"/>
    <s v="Dr. Arun"/>
    <d v="2024-05-05T00:00:00"/>
    <d v="2024-05-14T00:00:00"/>
    <n v="208867"/>
    <s v="None"/>
    <x v="2"/>
    <s v="Bangalore"/>
    <s v="Follow-up"/>
    <n v="2"/>
  </r>
  <r>
    <s v="P0394"/>
    <n v="49"/>
    <s v="Male"/>
    <s v="Respiratory"/>
    <s v="Cardiology"/>
    <s v="Dr. Meena"/>
    <d v="2024-03-10T00:00:00"/>
    <d v="2024-03-27T00:00:00"/>
    <n v="136562"/>
    <s v="Government"/>
    <x v="1"/>
    <s v="Coimbatore"/>
    <s v="Follow-up"/>
    <n v="5"/>
  </r>
  <r>
    <s v="P0395"/>
    <n v="71"/>
    <s v="Female"/>
    <s v="Cancer"/>
    <s v="Cardiology"/>
    <s v="Dr. Meena"/>
    <d v="2024-07-15T00:00:00"/>
    <d v="2024-07-26T00:00:00"/>
    <n v="98177"/>
    <s v="Government"/>
    <x v="1"/>
    <s v="Coimbatore"/>
    <s v="Follow-up"/>
    <n v="5"/>
  </r>
  <r>
    <s v="P0396"/>
    <n v="35"/>
    <s v="Female"/>
    <s v="Cancer"/>
    <s v="Pulmonology"/>
    <s v="Dr. Arun"/>
    <d v="2024-12-30T00:00:00"/>
    <d v="2025-01-17T00:00:00"/>
    <n v="236653"/>
    <s v="None"/>
    <x v="2"/>
    <s v="Madurai"/>
    <s v="Under Treatment"/>
    <n v="2"/>
  </r>
  <r>
    <s v="P0397"/>
    <n v="30"/>
    <s v="Female"/>
    <s v="Diabetes"/>
    <s v="Orthopedics"/>
    <s v="Dr. Kumar"/>
    <d v="2025-10-25T00:00:00"/>
    <d v="2025-11-14T00:00:00"/>
    <n v="81870"/>
    <s v="Corporate"/>
    <x v="3"/>
    <s v="Hyderabad"/>
    <s v="Follow-up"/>
    <n v="1"/>
  </r>
  <r>
    <s v="P0398"/>
    <n v="57"/>
    <s v="Male"/>
    <s v="Diabetes"/>
    <s v="General Medicine"/>
    <s v="Dr. Kumar"/>
    <d v="2025-04-20T00:00:00"/>
    <d v="2025-05-02T00:00:00"/>
    <n v="8388"/>
    <s v="None"/>
    <x v="0"/>
    <s v="Hyderabad"/>
    <s v="Under Treatment"/>
    <n v="4"/>
  </r>
  <r>
    <s v="P0399"/>
    <n v="23"/>
    <s v="Female"/>
    <s v="Orthopedic"/>
    <s v="Pulmonology"/>
    <s v="Dr. Priya"/>
    <d v="2024-04-10T00:00:00"/>
    <d v="2024-04-15T00:00:00"/>
    <n v="220828"/>
    <s v="Private"/>
    <x v="1"/>
    <s v="Madurai"/>
    <s v="Under Treatment"/>
    <n v="2"/>
  </r>
  <r>
    <s v="P0400"/>
    <n v="66"/>
    <s v="Male"/>
    <s v="Infection"/>
    <s v="Cardiology"/>
    <s v="Dr. Meena"/>
    <d v="2025-12-14T00:00:00"/>
    <d v="2026-01-01T00:00:00"/>
    <n v="69462"/>
    <s v="None"/>
    <x v="0"/>
    <s v="Hyderabad"/>
    <s v="Follow-up"/>
    <n v="5"/>
  </r>
  <r>
    <s v="P0401"/>
    <n v="78"/>
    <s v="Female"/>
    <s v="Orthopedic"/>
    <s v="Cardiology"/>
    <s v="Dr. Kumar"/>
    <d v="2025-09-17T00:00:00"/>
    <d v="2025-10-01T00:00:00"/>
    <n v="78328"/>
    <s v="Private"/>
    <x v="1"/>
    <s v="Coimbatore"/>
    <s v="Follow-up"/>
    <n v="3"/>
  </r>
  <r>
    <s v="P0402"/>
    <n v="51"/>
    <s v="Female"/>
    <s v="Diabetes"/>
    <s v="Oncology"/>
    <s v="Dr. Kumar"/>
    <d v="2025-05-30T00:00:00"/>
    <d v="2025-06-10T00:00:00"/>
    <n v="130467"/>
    <s v="Private"/>
    <x v="3"/>
    <s v="Madurai"/>
    <s v="Follow-up"/>
    <n v="5"/>
  </r>
  <r>
    <s v="P0403"/>
    <n v="59"/>
    <s v="Male"/>
    <s v="Cardiac"/>
    <s v="Neurology"/>
    <s v="Dr. Kumar"/>
    <d v="2025-01-26T00:00:00"/>
    <d v="2025-02-08T00:00:00"/>
    <n v="121046"/>
    <s v="Private"/>
    <x v="2"/>
    <s v="Coimbatore"/>
    <s v="Follow-up"/>
    <n v="1"/>
  </r>
  <r>
    <s v="P0404"/>
    <n v="19"/>
    <s v="Male"/>
    <s v="Orthopedic"/>
    <s v="Oncology"/>
    <s v="Dr. Meena"/>
    <d v="2025-09-15T00:00:00"/>
    <d v="2025-09-25T00:00:00"/>
    <n v="97743"/>
    <s v="Private"/>
    <x v="1"/>
    <s v="Hyderabad"/>
    <s v="Recovered"/>
    <n v="5"/>
  </r>
  <r>
    <s v="P0405"/>
    <n v="54"/>
    <s v="Male"/>
    <s v="Cancer"/>
    <s v="Pulmonology"/>
    <s v="Dr. Raj"/>
    <d v="2025-08-24T00:00:00"/>
    <d v="2025-09-13T00:00:00"/>
    <n v="218787"/>
    <s v="Private"/>
    <x v="0"/>
    <s v="Madurai"/>
    <s v="Follow-up"/>
    <n v="5"/>
  </r>
  <r>
    <s v="P0406"/>
    <n v="34"/>
    <s v="Female"/>
    <s v="Neurological"/>
    <s v="General Medicine"/>
    <s v="Dr. Kumar"/>
    <d v="2024-11-12T00:00:00"/>
    <d v="2024-11-24T00:00:00"/>
    <n v="176285"/>
    <s v="Government"/>
    <x v="2"/>
    <s v="Hyderabad"/>
    <s v="Under Treatment"/>
    <n v="4"/>
  </r>
  <r>
    <s v="P0407"/>
    <n v="18"/>
    <s v="Male"/>
    <s v="Diabetes"/>
    <s v="Pulmonology"/>
    <s v="Dr. Kumar"/>
    <d v="2025-10-31T00:00:00"/>
    <d v="2025-11-06T00:00:00"/>
    <n v="248790"/>
    <s v="None"/>
    <x v="1"/>
    <s v="Hyderabad"/>
    <s v="Under Treatment"/>
    <n v="2"/>
  </r>
  <r>
    <s v="P0408"/>
    <n v="57"/>
    <s v="Female"/>
    <s v="Neurological"/>
    <s v="General Medicine"/>
    <s v="Dr. Raj"/>
    <d v="2024-04-04T00:00:00"/>
    <d v="2024-04-06T00:00:00"/>
    <n v="135622"/>
    <s v="None"/>
    <x v="1"/>
    <s v="Madurai"/>
    <s v="Follow-up"/>
    <n v="5"/>
  </r>
  <r>
    <s v="P0409"/>
    <n v="80"/>
    <s v="Male"/>
    <s v="Neurological"/>
    <s v="General Medicine"/>
    <s v="Dr. Arun"/>
    <d v="2024-09-30T00:00:00"/>
    <d v="2024-10-16T00:00:00"/>
    <n v="188957"/>
    <s v="None"/>
    <x v="3"/>
    <s v="Bangalore"/>
    <s v="Recovered"/>
    <n v="2"/>
  </r>
  <r>
    <s v="P0410"/>
    <n v="78"/>
    <s v="Male"/>
    <s v="Respiratory"/>
    <s v="General Medicine"/>
    <s v="Dr. Raj"/>
    <d v="2025-09-23T00:00:00"/>
    <d v="2025-09-30T00:00:00"/>
    <n v="174317"/>
    <s v="Corporate"/>
    <x v="0"/>
    <s v="Coimbatore"/>
    <s v="Under Treatment"/>
    <n v="4"/>
  </r>
  <r>
    <s v="P0411"/>
    <n v="84"/>
    <s v="Male"/>
    <s v="Cancer"/>
    <s v="Oncology"/>
    <s v="Dr. Kumar"/>
    <d v="2024-08-16T00:00:00"/>
    <d v="2024-08-20T00:00:00"/>
    <n v="60696"/>
    <s v="Corporate"/>
    <x v="1"/>
    <s v="Chennai"/>
    <s v="Follow-up"/>
    <n v="2"/>
  </r>
  <r>
    <s v="P0412"/>
    <n v="74"/>
    <s v="Female"/>
    <s v="Infection"/>
    <s v="Orthopedics"/>
    <s v="Dr. Priya"/>
    <d v="2025-06-24T00:00:00"/>
    <d v="2025-07-11T00:00:00"/>
    <n v="139102"/>
    <s v="None"/>
    <x v="1"/>
    <s v="Hyderabad"/>
    <s v="Follow-up"/>
    <n v="2"/>
  </r>
  <r>
    <s v="P0413"/>
    <n v="80"/>
    <s v="Male"/>
    <s v="Infection"/>
    <s v="Cardiology"/>
    <s v="Dr. Arun"/>
    <d v="2024-08-29T00:00:00"/>
    <d v="2024-09-15T00:00:00"/>
    <n v="227613"/>
    <s v="Corporate"/>
    <x v="0"/>
    <s v="Madurai"/>
    <s v="Recovered"/>
    <n v="3"/>
  </r>
  <r>
    <s v="P0414"/>
    <n v="68"/>
    <s v="Male"/>
    <s v="Neurological"/>
    <s v="Orthopedics"/>
    <s v="Dr. Raj"/>
    <d v="2024-12-18T00:00:00"/>
    <d v="2025-01-01T00:00:00"/>
    <n v="172946"/>
    <s v="None"/>
    <x v="3"/>
    <s v="Chennai"/>
    <s v="Under Treatment"/>
    <n v="3"/>
  </r>
  <r>
    <s v="P0415"/>
    <n v="82"/>
    <s v="Male"/>
    <s v="Respiratory"/>
    <s v="Pulmonology"/>
    <s v="Dr. Raj"/>
    <d v="2025-02-16T00:00:00"/>
    <d v="2025-03-08T00:00:00"/>
    <n v="52035"/>
    <s v="Private"/>
    <x v="2"/>
    <s v="Madurai"/>
    <s v="Under Treatment"/>
    <n v="5"/>
  </r>
  <r>
    <s v="P0416"/>
    <n v="65"/>
    <s v="Male"/>
    <s v="Respiratory"/>
    <s v="Pulmonology"/>
    <s v="Dr. Arun"/>
    <d v="2025-10-30T00:00:00"/>
    <d v="2025-11-19T00:00:00"/>
    <n v="74029"/>
    <s v="Government"/>
    <x v="1"/>
    <s v="Hyderabad"/>
    <s v="Recovered"/>
    <n v="4"/>
  </r>
  <r>
    <s v="P0417"/>
    <n v="77"/>
    <s v="Male"/>
    <s v="Cardiac"/>
    <s v="Pulmonology"/>
    <s v="Dr. Arun"/>
    <d v="2024-07-05T00:00:00"/>
    <d v="2024-07-16T00:00:00"/>
    <n v="232263"/>
    <s v="None"/>
    <x v="2"/>
    <s v="Chennai"/>
    <s v="Recovered"/>
    <n v="4"/>
  </r>
  <r>
    <s v="P0418"/>
    <n v="20"/>
    <s v="Male"/>
    <s v="Respiratory"/>
    <s v="Oncology"/>
    <s v="Dr. Kumar"/>
    <d v="2024-11-11T00:00:00"/>
    <d v="2024-11-19T00:00:00"/>
    <n v="122994"/>
    <s v="Government"/>
    <x v="1"/>
    <s v="Hyderabad"/>
    <s v="Recovered"/>
    <n v="4"/>
  </r>
  <r>
    <s v="P0419"/>
    <n v="19"/>
    <s v="Male"/>
    <s v="Orthopedic"/>
    <s v="General Medicine"/>
    <s v="Dr. Priya"/>
    <d v="2024-10-10T00:00:00"/>
    <d v="2024-10-19T00:00:00"/>
    <n v="101700"/>
    <s v="Private"/>
    <x v="3"/>
    <s v="Hyderabad"/>
    <s v="Under Treatment"/>
    <n v="5"/>
  </r>
  <r>
    <s v="P0420"/>
    <n v="69"/>
    <s v="Male"/>
    <s v="Infection"/>
    <s v="Orthopedics"/>
    <s v="Dr. Arun"/>
    <d v="2025-08-22T00:00:00"/>
    <d v="2025-08-29T00:00:00"/>
    <n v="75322"/>
    <s v="Government"/>
    <x v="2"/>
    <s v="Madurai"/>
    <s v="Follow-up"/>
    <n v="5"/>
  </r>
  <r>
    <s v="P0421"/>
    <n v="32"/>
    <s v="Female"/>
    <s v="Infection"/>
    <s v="Oncology"/>
    <s v="Dr. Priya"/>
    <d v="2025-02-25T00:00:00"/>
    <d v="2025-02-26T00:00:00"/>
    <n v="168088"/>
    <s v="Private"/>
    <x v="3"/>
    <s v="Madurai"/>
    <s v="Follow-up"/>
    <n v="4"/>
  </r>
  <r>
    <s v="P0422"/>
    <n v="21"/>
    <s v="Female"/>
    <s v="Cardiac"/>
    <s v="Orthopedics"/>
    <s v="Dr. Arun"/>
    <d v="2024-08-16T00:00:00"/>
    <d v="2024-09-04T00:00:00"/>
    <n v="152143"/>
    <s v="Corporate"/>
    <x v="1"/>
    <s v="Bangalore"/>
    <s v="Recovered"/>
    <n v="5"/>
  </r>
  <r>
    <s v="P0423"/>
    <n v="24"/>
    <s v="Female"/>
    <s v="Neurological"/>
    <s v="Cardiology"/>
    <s v="Dr. Kumar"/>
    <d v="2025-10-16T00:00:00"/>
    <d v="2025-10-22T00:00:00"/>
    <n v="92737"/>
    <s v="None"/>
    <x v="2"/>
    <s v="Bangalore"/>
    <s v="Recovered"/>
    <n v="4"/>
  </r>
  <r>
    <s v="P0424"/>
    <n v="71"/>
    <s v="Male"/>
    <s v="Respiratory"/>
    <s v="Cardiology"/>
    <s v="Dr. Raj"/>
    <d v="2024-11-04T00:00:00"/>
    <d v="2024-11-19T00:00:00"/>
    <n v="68474"/>
    <s v="Government"/>
    <x v="1"/>
    <s v="Coimbatore"/>
    <s v="Recovered"/>
    <n v="4"/>
  </r>
  <r>
    <s v="P0425"/>
    <n v="60"/>
    <s v="Male"/>
    <s v="Respiratory"/>
    <s v="Cardiology"/>
    <s v="Dr. Priya"/>
    <d v="2024-09-19T00:00:00"/>
    <d v="2024-10-04T00:00:00"/>
    <n v="216884"/>
    <s v="Corporate"/>
    <x v="1"/>
    <s v="Chennai"/>
    <s v="Recovered"/>
    <n v="3"/>
  </r>
  <r>
    <s v="P0426"/>
    <n v="61"/>
    <s v="Female"/>
    <s v="Cardiac"/>
    <s v="Orthopedics"/>
    <s v="Dr. Priya"/>
    <d v="2024-02-27T00:00:00"/>
    <d v="2024-03-10T00:00:00"/>
    <n v="28269"/>
    <s v="Government"/>
    <x v="3"/>
    <s v="Madurai"/>
    <s v="Under Treatment"/>
    <n v="3"/>
  </r>
  <r>
    <s v="P0427"/>
    <n v="62"/>
    <s v="Male"/>
    <s v="Cancer"/>
    <s v="Oncology"/>
    <s v="Dr. Kumar"/>
    <d v="2025-11-11T00:00:00"/>
    <d v="2025-11-28T00:00:00"/>
    <n v="169563"/>
    <s v="Government"/>
    <x v="1"/>
    <s v="Bangalore"/>
    <s v="Recovered"/>
    <n v="2"/>
  </r>
  <r>
    <s v="P0428"/>
    <n v="76"/>
    <s v="Male"/>
    <s v="Cancer"/>
    <s v="Orthopedics"/>
    <s v="Dr. Meena"/>
    <d v="2024-02-06T00:00:00"/>
    <d v="2024-02-24T00:00:00"/>
    <n v="36754"/>
    <s v="None"/>
    <x v="3"/>
    <s v="Hyderabad"/>
    <s v="Under Treatment"/>
    <n v="3"/>
  </r>
  <r>
    <s v="P0429"/>
    <n v="61"/>
    <s v="Male"/>
    <s v="Respiratory"/>
    <s v="Orthopedics"/>
    <s v="Dr. Priya"/>
    <d v="2024-07-02T00:00:00"/>
    <d v="2024-07-16T00:00:00"/>
    <n v="59236"/>
    <s v="Corporate"/>
    <x v="1"/>
    <s v="Coimbatore"/>
    <s v="Under Treatment"/>
    <n v="4"/>
  </r>
  <r>
    <s v="P0430"/>
    <n v="48"/>
    <s v="Male"/>
    <s v="Cardiac"/>
    <s v="Oncology"/>
    <s v="Dr. Kumar"/>
    <d v="2024-10-21T00:00:00"/>
    <d v="2024-11-06T00:00:00"/>
    <n v="198584"/>
    <s v="Private"/>
    <x v="0"/>
    <s v="Coimbatore"/>
    <s v="Follow-up"/>
    <n v="5"/>
  </r>
  <r>
    <s v="P0431"/>
    <n v="73"/>
    <s v="Female"/>
    <s v="Infection"/>
    <s v="Oncology"/>
    <s v="Dr. Arun"/>
    <d v="2025-12-10T00:00:00"/>
    <d v="2025-12-25T00:00:00"/>
    <n v="116892"/>
    <s v="Government"/>
    <x v="0"/>
    <s v="Coimbatore"/>
    <s v="Follow-up"/>
    <n v="3"/>
  </r>
  <r>
    <s v="P0432"/>
    <n v="45"/>
    <s v="Female"/>
    <s v="Diabetes"/>
    <s v="Oncology"/>
    <s v="Dr. Meena"/>
    <d v="2025-06-11T00:00:00"/>
    <d v="2025-07-01T00:00:00"/>
    <n v="230037"/>
    <s v="None"/>
    <x v="2"/>
    <s v="Madurai"/>
    <s v="Under Treatment"/>
    <n v="1"/>
  </r>
  <r>
    <s v="P0433"/>
    <n v="18"/>
    <s v="Female"/>
    <s v="Infection"/>
    <s v="Neurology"/>
    <s v="Dr. Meena"/>
    <d v="2024-12-28T00:00:00"/>
    <d v="2025-01-01T00:00:00"/>
    <n v="204214"/>
    <s v="Private"/>
    <x v="2"/>
    <s v="Chennai"/>
    <s v="Follow-up"/>
    <n v="4"/>
  </r>
  <r>
    <s v="P0434"/>
    <n v="59"/>
    <s v="Female"/>
    <s v="Neurological"/>
    <s v="Neurology"/>
    <s v="Dr. Priya"/>
    <d v="2025-12-16T00:00:00"/>
    <d v="2025-12-24T00:00:00"/>
    <n v="157286"/>
    <s v="Corporate"/>
    <x v="3"/>
    <s v="Chennai"/>
    <s v="Under Treatment"/>
    <n v="1"/>
  </r>
  <r>
    <s v="P0435"/>
    <n v="65"/>
    <s v="Male"/>
    <s v="Respiratory"/>
    <s v="General Medicine"/>
    <s v="Dr. Arun"/>
    <d v="2024-09-07T00:00:00"/>
    <d v="2024-09-16T00:00:00"/>
    <n v="148083"/>
    <s v="Corporate"/>
    <x v="1"/>
    <s v="Bangalore"/>
    <s v="Under Treatment"/>
    <n v="1"/>
  </r>
  <r>
    <s v="P0436"/>
    <n v="83"/>
    <s v="Male"/>
    <s v="Cancer"/>
    <s v="Oncology"/>
    <s v="Dr. Kumar"/>
    <d v="2024-06-07T00:00:00"/>
    <d v="2024-06-12T00:00:00"/>
    <n v="120219"/>
    <s v="Private"/>
    <x v="0"/>
    <s v="Bangalore"/>
    <s v="Follow-up"/>
    <n v="3"/>
  </r>
  <r>
    <s v="P0437"/>
    <n v="28"/>
    <s v="Female"/>
    <s v="Neurological"/>
    <s v="Orthopedics"/>
    <s v="Dr. Raj"/>
    <d v="2025-01-04T00:00:00"/>
    <d v="2025-01-18T00:00:00"/>
    <n v="147131"/>
    <s v="Private"/>
    <x v="1"/>
    <s v="Madurai"/>
    <s v="Recovered"/>
    <n v="3"/>
  </r>
  <r>
    <s v="P0438"/>
    <n v="51"/>
    <s v="Female"/>
    <s v="Neurological"/>
    <s v="Oncology"/>
    <s v="Dr. Arun"/>
    <d v="2025-02-13T00:00:00"/>
    <d v="2025-02-17T00:00:00"/>
    <n v="202543"/>
    <s v="Government"/>
    <x v="0"/>
    <s v="Madurai"/>
    <s v="Recovered"/>
    <n v="2"/>
  </r>
  <r>
    <s v="P0439"/>
    <n v="65"/>
    <s v="Male"/>
    <s v="Diabetes"/>
    <s v="Oncology"/>
    <s v="Dr. Arun"/>
    <d v="2024-07-29T00:00:00"/>
    <d v="2024-08-07T00:00:00"/>
    <n v="221995"/>
    <s v="Private"/>
    <x v="0"/>
    <s v="Madurai"/>
    <s v="Follow-up"/>
    <n v="2"/>
  </r>
  <r>
    <s v="P0440"/>
    <n v="68"/>
    <s v="Male"/>
    <s v="Respiratory"/>
    <s v="Orthopedics"/>
    <s v="Dr. Raj"/>
    <d v="2024-07-22T00:00:00"/>
    <d v="2024-07-31T00:00:00"/>
    <n v="200615"/>
    <s v="Private"/>
    <x v="2"/>
    <s v="Hyderabad"/>
    <s v="Under Treatment"/>
    <n v="3"/>
  </r>
  <r>
    <s v="P0441"/>
    <n v="40"/>
    <s v="Female"/>
    <s v="Diabetes"/>
    <s v="Oncology"/>
    <s v="Dr. Raj"/>
    <d v="2024-03-18T00:00:00"/>
    <d v="2024-04-03T00:00:00"/>
    <n v="168361"/>
    <s v="Government"/>
    <x v="1"/>
    <s v="Chennai"/>
    <s v="Under Treatment"/>
    <n v="2"/>
  </r>
  <r>
    <s v="P0442"/>
    <n v="75"/>
    <s v="Female"/>
    <s v="Neurological"/>
    <s v="Pulmonology"/>
    <s v="Dr. Raj"/>
    <d v="2025-12-21T00:00:00"/>
    <d v="2025-12-31T00:00:00"/>
    <n v="36652"/>
    <s v="Private"/>
    <x v="2"/>
    <s v="Bangalore"/>
    <s v="Under Treatment"/>
    <n v="1"/>
  </r>
  <r>
    <s v="P0443"/>
    <n v="48"/>
    <s v="Male"/>
    <s v="Diabetes"/>
    <s v="Orthopedics"/>
    <s v="Dr. Priya"/>
    <d v="2025-02-10T00:00:00"/>
    <d v="2025-03-02T00:00:00"/>
    <n v="21888"/>
    <s v="Corporate"/>
    <x v="0"/>
    <s v="Coimbatore"/>
    <s v="Recovered"/>
    <n v="2"/>
  </r>
  <r>
    <s v="P0444"/>
    <n v="84"/>
    <s v="Female"/>
    <s v="Respiratory"/>
    <s v="Pulmonology"/>
    <s v="Dr. Kumar"/>
    <d v="2025-09-09T00:00:00"/>
    <d v="2025-09-29T00:00:00"/>
    <n v="156932"/>
    <s v="Corporate"/>
    <x v="3"/>
    <s v="Bangalore"/>
    <s v="Follow-up"/>
    <n v="2"/>
  </r>
  <r>
    <s v="P0445"/>
    <n v="65"/>
    <s v="Male"/>
    <s v="Respiratory"/>
    <s v="Oncology"/>
    <s v="Dr. Kumar"/>
    <d v="2024-08-05T00:00:00"/>
    <d v="2024-08-22T00:00:00"/>
    <n v="203937"/>
    <s v="Government"/>
    <x v="2"/>
    <s v="Coimbatore"/>
    <s v="Under Treatment"/>
    <n v="3"/>
  </r>
  <r>
    <s v="P0446"/>
    <n v="67"/>
    <s v="Male"/>
    <s v="Cardiac"/>
    <s v="Orthopedics"/>
    <s v="Dr. Raj"/>
    <d v="2025-03-19T00:00:00"/>
    <d v="2025-03-23T00:00:00"/>
    <n v="106351"/>
    <s v="None"/>
    <x v="1"/>
    <s v="Chennai"/>
    <s v="Follow-up"/>
    <n v="3"/>
  </r>
  <r>
    <s v="P0447"/>
    <n v="62"/>
    <s v="Male"/>
    <s v="Infection"/>
    <s v="Oncology"/>
    <s v="Dr. Priya"/>
    <d v="2024-08-31T00:00:00"/>
    <d v="2024-09-15T00:00:00"/>
    <n v="195783"/>
    <s v="Government"/>
    <x v="0"/>
    <s v="Madurai"/>
    <s v="Recovered"/>
    <n v="4"/>
  </r>
  <r>
    <s v="P0448"/>
    <n v="43"/>
    <s v="Male"/>
    <s v="Cancer"/>
    <s v="Oncology"/>
    <s v="Dr. Priya"/>
    <d v="2025-04-13T00:00:00"/>
    <d v="2025-04-18T00:00:00"/>
    <n v="149223"/>
    <s v="None"/>
    <x v="3"/>
    <s v="Hyderabad"/>
    <s v="Recovered"/>
    <n v="4"/>
  </r>
  <r>
    <s v="P0449"/>
    <n v="80"/>
    <s v="Male"/>
    <s v="Infection"/>
    <s v="Oncology"/>
    <s v="Dr. Meena"/>
    <d v="2024-04-26T00:00:00"/>
    <d v="2024-05-16T00:00:00"/>
    <n v="227569"/>
    <s v="Corporate"/>
    <x v="2"/>
    <s v="Hyderabad"/>
    <s v="Recovered"/>
    <n v="2"/>
  </r>
  <r>
    <s v="P0450"/>
    <n v="41"/>
    <s v="Female"/>
    <s v="Infection"/>
    <s v="Orthopedics"/>
    <s v="Dr. Kumar"/>
    <d v="2025-06-27T00:00:00"/>
    <d v="2025-07-14T00:00:00"/>
    <n v="132434"/>
    <s v="Private"/>
    <x v="0"/>
    <s v="Bangalore"/>
    <s v="Recovered"/>
    <n v="3"/>
  </r>
  <r>
    <s v="P0451"/>
    <n v="53"/>
    <s v="Male"/>
    <s v="Cardiac"/>
    <s v="Cardiology"/>
    <s v="Dr. Raj"/>
    <d v="2025-09-02T00:00:00"/>
    <d v="2025-09-06T00:00:00"/>
    <n v="185955"/>
    <s v="Private"/>
    <x v="2"/>
    <s v="Bangalore"/>
    <s v="Recovered"/>
    <n v="5"/>
  </r>
  <r>
    <s v="P0452"/>
    <n v="47"/>
    <s v="Female"/>
    <s v="Infection"/>
    <s v="Oncology"/>
    <s v="Dr. Raj"/>
    <d v="2025-01-16T00:00:00"/>
    <d v="2025-01-21T00:00:00"/>
    <n v="113771"/>
    <s v="Private"/>
    <x v="1"/>
    <s v="Chennai"/>
    <s v="Under Treatment"/>
    <n v="3"/>
  </r>
  <r>
    <s v="P0453"/>
    <n v="72"/>
    <s v="Male"/>
    <s v="Infection"/>
    <s v="General Medicine"/>
    <s v="Dr. Raj"/>
    <d v="2024-11-12T00:00:00"/>
    <d v="2024-11-25T00:00:00"/>
    <n v="234906"/>
    <s v="Government"/>
    <x v="3"/>
    <s v="Bangalore"/>
    <s v="Under Treatment"/>
    <n v="2"/>
  </r>
  <r>
    <s v="P0454"/>
    <n v="65"/>
    <s v="Female"/>
    <s v="Cardiac"/>
    <s v="Neurology"/>
    <s v="Dr. Raj"/>
    <d v="2025-12-29T00:00:00"/>
    <d v="2026-01-02T00:00:00"/>
    <n v="116988"/>
    <s v="Private"/>
    <x v="0"/>
    <s v="Bangalore"/>
    <s v="Recovered"/>
    <n v="1"/>
  </r>
  <r>
    <s v="P0455"/>
    <n v="45"/>
    <s v="Male"/>
    <s v="Respiratory"/>
    <s v="Cardiology"/>
    <s v="Dr. Priya"/>
    <d v="2024-05-19T00:00:00"/>
    <d v="2024-05-31T00:00:00"/>
    <n v="233944"/>
    <s v="Corporate"/>
    <x v="3"/>
    <s v="Madurai"/>
    <s v="Follow-up"/>
    <n v="2"/>
  </r>
  <r>
    <s v="P0456"/>
    <n v="32"/>
    <s v="Male"/>
    <s v="Diabetes"/>
    <s v="Pulmonology"/>
    <s v="Dr. Priya"/>
    <d v="2024-10-29T00:00:00"/>
    <d v="2024-11-11T00:00:00"/>
    <n v="225161"/>
    <s v="Private"/>
    <x v="0"/>
    <s v="Madurai"/>
    <s v="Recovered"/>
    <n v="3"/>
  </r>
  <r>
    <s v="P0457"/>
    <n v="27"/>
    <s v="Male"/>
    <s v="Cardiac"/>
    <s v="Pulmonology"/>
    <s v="Dr. Meena"/>
    <d v="2024-02-12T00:00:00"/>
    <d v="2024-02-24T00:00:00"/>
    <n v="15053"/>
    <s v="None"/>
    <x v="3"/>
    <s v="Hyderabad"/>
    <s v="Follow-up"/>
    <n v="4"/>
  </r>
  <r>
    <s v="P0458"/>
    <n v="43"/>
    <s v="Female"/>
    <s v="Orthopedic"/>
    <s v="Orthopedics"/>
    <s v="Dr. Meena"/>
    <d v="2025-10-07T00:00:00"/>
    <d v="2025-10-26T00:00:00"/>
    <n v="46203"/>
    <s v="Private"/>
    <x v="1"/>
    <s v="Coimbatore"/>
    <s v="Follow-up"/>
    <n v="2"/>
  </r>
  <r>
    <s v="P0459"/>
    <n v="27"/>
    <s v="Female"/>
    <s v="Respiratory"/>
    <s v="Pulmonology"/>
    <s v="Dr. Arun"/>
    <d v="2024-07-30T00:00:00"/>
    <d v="2024-08-08T00:00:00"/>
    <n v="5513"/>
    <s v="None"/>
    <x v="2"/>
    <s v="Coimbatore"/>
    <s v="Follow-up"/>
    <n v="3"/>
  </r>
  <r>
    <s v="P0460"/>
    <n v="74"/>
    <s v="Male"/>
    <s v="Diabetes"/>
    <s v="Orthopedics"/>
    <s v="Dr. Raj"/>
    <d v="2025-10-03T00:00:00"/>
    <d v="2025-10-05T00:00:00"/>
    <n v="234359"/>
    <s v="Private"/>
    <x v="1"/>
    <s v="Madurai"/>
    <s v="Under Treatment"/>
    <n v="5"/>
  </r>
  <r>
    <s v="P0461"/>
    <n v="65"/>
    <s v="Male"/>
    <s v="Cancer"/>
    <s v="Orthopedics"/>
    <s v="Dr. Kumar"/>
    <d v="2025-11-14T00:00:00"/>
    <d v="2025-11-15T00:00:00"/>
    <n v="226778"/>
    <s v="Corporate"/>
    <x v="0"/>
    <s v="Coimbatore"/>
    <s v="Recovered"/>
    <n v="2"/>
  </r>
  <r>
    <s v="P0462"/>
    <n v="65"/>
    <s v="Male"/>
    <s v="Infection"/>
    <s v="Neurology"/>
    <s v="Dr. Arun"/>
    <d v="2025-12-22T00:00:00"/>
    <d v="2026-01-06T00:00:00"/>
    <n v="44314"/>
    <s v="Private"/>
    <x v="1"/>
    <s v="Chennai"/>
    <s v="Recovered"/>
    <n v="2"/>
  </r>
  <r>
    <s v="P0463"/>
    <n v="73"/>
    <s v="Male"/>
    <s v="Infection"/>
    <s v="Cardiology"/>
    <s v="Dr. Meena"/>
    <d v="2024-08-17T00:00:00"/>
    <d v="2024-08-28T00:00:00"/>
    <n v="175564"/>
    <s v="Government"/>
    <x v="2"/>
    <s v="Bangalore"/>
    <s v="Under Treatment"/>
    <n v="1"/>
  </r>
  <r>
    <s v="P0464"/>
    <n v="73"/>
    <s v="Female"/>
    <s v="Diabetes"/>
    <s v="Neurology"/>
    <s v="Dr. Raj"/>
    <d v="2024-09-22T00:00:00"/>
    <d v="2024-09-27T00:00:00"/>
    <n v="120884"/>
    <s v="Corporate"/>
    <x v="1"/>
    <s v="Hyderabad"/>
    <s v="Follow-up"/>
    <n v="1"/>
  </r>
  <r>
    <s v="P0465"/>
    <n v="21"/>
    <s v="Female"/>
    <s v="Respiratory"/>
    <s v="Pulmonology"/>
    <s v="Dr. Priya"/>
    <d v="2025-04-12T00:00:00"/>
    <d v="2025-04-15T00:00:00"/>
    <n v="78396"/>
    <s v="Government"/>
    <x v="3"/>
    <s v="Hyderabad"/>
    <s v="Follow-up"/>
    <n v="2"/>
  </r>
  <r>
    <s v="P0466"/>
    <n v="72"/>
    <s v="Female"/>
    <s v="Cancer"/>
    <s v="Cardiology"/>
    <s v="Dr. Raj"/>
    <d v="2025-06-07T00:00:00"/>
    <d v="2025-06-27T00:00:00"/>
    <n v="231580"/>
    <s v="Private"/>
    <x v="0"/>
    <s v="Madurai"/>
    <s v="Follow-up"/>
    <n v="2"/>
  </r>
  <r>
    <s v="P0467"/>
    <n v="45"/>
    <s v="Female"/>
    <s v="Neurological"/>
    <s v="Pulmonology"/>
    <s v="Dr. Arun"/>
    <d v="2024-03-15T00:00:00"/>
    <d v="2024-04-03T00:00:00"/>
    <n v="171014"/>
    <s v="Government"/>
    <x v="3"/>
    <s v="Coimbatore"/>
    <s v="Under Treatment"/>
    <n v="5"/>
  </r>
  <r>
    <s v="P0468"/>
    <n v="76"/>
    <s v="Male"/>
    <s v="Neurological"/>
    <s v="Pulmonology"/>
    <s v="Dr. Kumar"/>
    <d v="2024-01-07T00:00:00"/>
    <d v="2024-01-16T00:00:00"/>
    <n v="182611"/>
    <s v="Private"/>
    <x v="3"/>
    <s v="Hyderabad"/>
    <s v="Recovered"/>
    <n v="4"/>
  </r>
  <r>
    <s v="P0469"/>
    <n v="38"/>
    <s v="Female"/>
    <s v="Orthopedic"/>
    <s v="General Medicine"/>
    <s v="Dr. Priya"/>
    <d v="2024-09-08T00:00:00"/>
    <d v="2024-09-17T00:00:00"/>
    <n v="98362"/>
    <s v="Corporate"/>
    <x v="0"/>
    <s v="Hyderabad"/>
    <s v="Follow-up"/>
    <n v="5"/>
  </r>
  <r>
    <s v="P0470"/>
    <n v="58"/>
    <s v="Female"/>
    <s v="Neurological"/>
    <s v="Neurology"/>
    <s v="Dr. Priya"/>
    <d v="2025-09-18T00:00:00"/>
    <d v="2025-10-01T00:00:00"/>
    <n v="225153"/>
    <s v="Private"/>
    <x v="1"/>
    <s v="Madurai"/>
    <s v="Follow-up"/>
    <n v="5"/>
  </r>
  <r>
    <s v="P0471"/>
    <n v="81"/>
    <s v="Female"/>
    <s v="Infection"/>
    <s v="Neurology"/>
    <s v="Dr. Raj"/>
    <d v="2025-08-24T00:00:00"/>
    <d v="2025-09-03T00:00:00"/>
    <n v="122155"/>
    <s v="Corporate"/>
    <x v="3"/>
    <s v="Bangalore"/>
    <s v="Recovered"/>
    <n v="4"/>
  </r>
  <r>
    <s v="P0472"/>
    <n v="51"/>
    <s v="Male"/>
    <s v="Orthopedic"/>
    <s v="General Medicine"/>
    <s v="Dr. Kumar"/>
    <d v="2025-07-02T00:00:00"/>
    <d v="2025-07-15T00:00:00"/>
    <n v="177679"/>
    <s v="None"/>
    <x v="3"/>
    <s v="Bangalore"/>
    <s v="Follow-up"/>
    <n v="1"/>
  </r>
  <r>
    <s v="P0473"/>
    <n v="70"/>
    <s v="Male"/>
    <s v="Neurological"/>
    <s v="Cardiology"/>
    <s v="Dr. Raj"/>
    <d v="2025-11-17T00:00:00"/>
    <d v="2025-12-04T00:00:00"/>
    <n v="55639"/>
    <s v="Corporate"/>
    <x v="3"/>
    <s v="Coimbatore"/>
    <s v="Under Treatment"/>
    <n v="4"/>
  </r>
  <r>
    <s v="P0474"/>
    <n v="52"/>
    <s v="Male"/>
    <s v="Respiratory"/>
    <s v="Cardiology"/>
    <s v="Dr. Kumar"/>
    <d v="2024-10-23T00:00:00"/>
    <d v="2024-11-12T00:00:00"/>
    <n v="117079"/>
    <s v="None"/>
    <x v="1"/>
    <s v="Bangalore"/>
    <s v="Recovered"/>
    <n v="5"/>
  </r>
  <r>
    <s v="P0475"/>
    <n v="31"/>
    <s v="Male"/>
    <s v="Infection"/>
    <s v="Cardiology"/>
    <s v="Dr. Kumar"/>
    <d v="2025-07-21T00:00:00"/>
    <d v="2025-08-04T00:00:00"/>
    <n v="153519"/>
    <s v="Private"/>
    <x v="3"/>
    <s v="Madurai"/>
    <s v="Recovered"/>
    <n v="4"/>
  </r>
  <r>
    <s v="P0476"/>
    <n v="61"/>
    <s v="Male"/>
    <s v="Respiratory"/>
    <s v="General Medicine"/>
    <s v="Dr. Kumar"/>
    <d v="2024-06-22T00:00:00"/>
    <d v="2024-07-08T00:00:00"/>
    <n v="230335"/>
    <s v="Government"/>
    <x v="2"/>
    <s v="Coimbatore"/>
    <s v="Recovered"/>
    <n v="1"/>
  </r>
  <r>
    <s v="P0477"/>
    <n v="68"/>
    <s v="Male"/>
    <s v="Diabetes"/>
    <s v="Pulmonology"/>
    <s v="Dr. Raj"/>
    <d v="2024-07-13T00:00:00"/>
    <d v="2024-08-01T00:00:00"/>
    <n v="189253"/>
    <s v="Private"/>
    <x v="0"/>
    <s v="Chennai"/>
    <s v="Follow-up"/>
    <n v="3"/>
  </r>
  <r>
    <s v="P0478"/>
    <n v="35"/>
    <s v="Female"/>
    <s v="Neurological"/>
    <s v="Cardiology"/>
    <s v="Dr. Kumar"/>
    <d v="2025-03-07T00:00:00"/>
    <d v="2025-03-08T00:00:00"/>
    <n v="46531"/>
    <s v="Government"/>
    <x v="1"/>
    <s v="Hyderabad"/>
    <s v="Follow-up"/>
    <n v="3"/>
  </r>
  <r>
    <s v="P0479"/>
    <n v="24"/>
    <s v="Female"/>
    <s v="Diabetes"/>
    <s v="Orthopedics"/>
    <s v="Dr. Arun"/>
    <d v="2024-12-07T00:00:00"/>
    <d v="2024-12-25T00:00:00"/>
    <n v="46571"/>
    <s v="Private"/>
    <x v="2"/>
    <s v="Bangalore"/>
    <s v="Follow-up"/>
    <n v="2"/>
  </r>
  <r>
    <s v="P0480"/>
    <n v="18"/>
    <s v="Female"/>
    <s v="Neurological"/>
    <s v="Oncology"/>
    <s v="Dr. Arun"/>
    <d v="2025-08-18T00:00:00"/>
    <d v="2025-08-31T00:00:00"/>
    <n v="107518"/>
    <s v="Corporate"/>
    <x v="3"/>
    <s v="Coimbatore"/>
    <s v="Follow-up"/>
    <n v="5"/>
  </r>
  <r>
    <s v="P0481"/>
    <n v="83"/>
    <s v="Female"/>
    <s v="Cancer"/>
    <s v="Neurology"/>
    <s v="Dr. Meena"/>
    <d v="2024-01-31T00:00:00"/>
    <d v="2024-02-07T00:00:00"/>
    <n v="113360"/>
    <s v="Corporate"/>
    <x v="0"/>
    <s v="Chennai"/>
    <s v="Follow-up"/>
    <n v="1"/>
  </r>
  <r>
    <s v="P0482"/>
    <n v="43"/>
    <s v="Male"/>
    <s v="Diabetes"/>
    <s v="Cardiology"/>
    <s v="Dr. Arun"/>
    <d v="2025-01-29T00:00:00"/>
    <d v="2025-02-15T00:00:00"/>
    <n v="206934"/>
    <s v="Government"/>
    <x v="0"/>
    <s v="Chennai"/>
    <s v="Under Treatment"/>
    <n v="1"/>
  </r>
  <r>
    <s v="P0483"/>
    <n v="24"/>
    <s v="Male"/>
    <s v="Orthopedic"/>
    <s v="Cardiology"/>
    <s v="Dr. Raj"/>
    <d v="2024-12-13T00:00:00"/>
    <d v="2024-12-14T00:00:00"/>
    <n v="155736"/>
    <s v="Private"/>
    <x v="3"/>
    <s v="Bangalore"/>
    <s v="Follow-up"/>
    <n v="5"/>
  </r>
  <r>
    <s v="P0484"/>
    <n v="41"/>
    <s v="Female"/>
    <s v="Diabetes"/>
    <s v="Oncology"/>
    <s v="Dr. Kumar"/>
    <d v="2025-03-20T00:00:00"/>
    <d v="2025-03-26T00:00:00"/>
    <n v="193668"/>
    <s v="None"/>
    <x v="0"/>
    <s v="Chennai"/>
    <s v="Recovered"/>
    <n v="3"/>
  </r>
  <r>
    <s v="P0485"/>
    <n v="29"/>
    <s v="Male"/>
    <s v="Cardiac"/>
    <s v="General Medicine"/>
    <s v="Dr. Raj"/>
    <d v="2025-01-07T00:00:00"/>
    <d v="2025-01-15T00:00:00"/>
    <n v="23543"/>
    <s v="Corporate"/>
    <x v="3"/>
    <s v="Chennai"/>
    <s v="Under Treatment"/>
    <n v="2"/>
  </r>
  <r>
    <s v="P0486"/>
    <n v="47"/>
    <s v="Female"/>
    <s v="Infection"/>
    <s v="Neurology"/>
    <s v="Dr. Kumar"/>
    <d v="2025-04-21T00:00:00"/>
    <d v="2025-05-10T00:00:00"/>
    <n v="71817"/>
    <s v="None"/>
    <x v="0"/>
    <s v="Bangalore"/>
    <s v="Under Treatment"/>
    <n v="5"/>
  </r>
  <r>
    <s v="P0487"/>
    <n v="29"/>
    <s v="Male"/>
    <s v="Respiratory"/>
    <s v="Cardiology"/>
    <s v="Dr. Meena"/>
    <d v="2024-10-29T00:00:00"/>
    <d v="2024-11-10T00:00:00"/>
    <n v="60352"/>
    <s v="Private"/>
    <x v="3"/>
    <s v="Chennai"/>
    <s v="Under Treatment"/>
    <n v="1"/>
  </r>
  <r>
    <s v="P0488"/>
    <n v="51"/>
    <s v="Female"/>
    <s v="Cancer"/>
    <s v="Pulmonology"/>
    <s v="Dr. Kumar"/>
    <d v="2025-09-19T00:00:00"/>
    <d v="2025-09-27T00:00:00"/>
    <n v="96716"/>
    <s v="Private"/>
    <x v="3"/>
    <s v="Madurai"/>
    <s v="Under Treatment"/>
    <n v="5"/>
  </r>
  <r>
    <s v="P0489"/>
    <n v="54"/>
    <s v="Male"/>
    <s v="Neurological"/>
    <s v="Cardiology"/>
    <s v="Dr. Arun"/>
    <d v="2024-04-29T00:00:00"/>
    <d v="2024-05-14T00:00:00"/>
    <n v="178005"/>
    <s v="None"/>
    <x v="1"/>
    <s v="Coimbatore"/>
    <s v="Under Treatment"/>
    <n v="5"/>
  </r>
  <r>
    <s v="P0490"/>
    <n v="47"/>
    <s v="Female"/>
    <s v="Orthopedic"/>
    <s v="General Medicine"/>
    <s v="Dr. Priya"/>
    <d v="2025-06-11T00:00:00"/>
    <d v="2025-06-26T00:00:00"/>
    <n v="208248"/>
    <s v="Government"/>
    <x v="1"/>
    <s v="Hyderabad"/>
    <s v="Under Treatment"/>
    <n v="4"/>
  </r>
  <r>
    <s v="P0491"/>
    <n v="60"/>
    <s v="Male"/>
    <s v="Neurological"/>
    <s v="Neurology"/>
    <s v="Dr. Kumar"/>
    <d v="2024-07-12T00:00:00"/>
    <d v="2024-07-21T00:00:00"/>
    <n v="235237"/>
    <s v="Corporate"/>
    <x v="1"/>
    <s v="Bangalore"/>
    <s v="Recovered"/>
    <n v="2"/>
  </r>
  <r>
    <s v="P0492"/>
    <n v="54"/>
    <s v="Male"/>
    <s v="Neurological"/>
    <s v="Oncology"/>
    <s v="Dr. Kumar"/>
    <d v="2025-03-28T00:00:00"/>
    <d v="2025-04-12T00:00:00"/>
    <n v="133053"/>
    <s v="Private"/>
    <x v="0"/>
    <s v="Madurai"/>
    <s v="Under Treatment"/>
    <n v="1"/>
  </r>
  <r>
    <s v="P0493"/>
    <n v="64"/>
    <s v="Male"/>
    <s v="Cancer"/>
    <s v="Oncology"/>
    <s v="Dr. Arun"/>
    <d v="2024-05-30T00:00:00"/>
    <d v="2024-06-04T00:00:00"/>
    <n v="172055"/>
    <s v="None"/>
    <x v="2"/>
    <s v="Chennai"/>
    <s v="Under Treatment"/>
    <n v="5"/>
  </r>
  <r>
    <s v="P0494"/>
    <n v="30"/>
    <s v="Female"/>
    <s v="Respiratory"/>
    <s v="Orthopedics"/>
    <s v="Dr. Kumar"/>
    <d v="2024-04-30T00:00:00"/>
    <d v="2024-05-01T00:00:00"/>
    <n v="51476"/>
    <s v="Corporate"/>
    <x v="1"/>
    <s v="Coimbatore"/>
    <s v="Recovered"/>
    <n v="4"/>
  </r>
  <r>
    <s v="P0495"/>
    <n v="42"/>
    <s v="Male"/>
    <s v="Neurological"/>
    <s v="Cardiology"/>
    <s v="Dr. Meena"/>
    <d v="2025-10-25T00:00:00"/>
    <d v="2025-10-26T00:00:00"/>
    <n v="218837"/>
    <s v="Private"/>
    <x v="0"/>
    <s v="Coimbatore"/>
    <s v="Recovered"/>
    <n v="2"/>
  </r>
  <r>
    <s v="P0496"/>
    <n v="54"/>
    <s v="Female"/>
    <s v="Neurological"/>
    <s v="Neurology"/>
    <s v="Dr. Raj"/>
    <d v="2025-10-30T00:00:00"/>
    <d v="2025-11-03T00:00:00"/>
    <n v="8923"/>
    <s v="Government"/>
    <x v="2"/>
    <s v="Madurai"/>
    <s v="Follow-up"/>
    <n v="2"/>
  </r>
  <r>
    <s v="P0497"/>
    <n v="68"/>
    <s v="Male"/>
    <s v="Neurological"/>
    <s v="Neurology"/>
    <s v="Dr. Raj"/>
    <d v="2025-03-17T00:00:00"/>
    <d v="2025-04-05T00:00:00"/>
    <n v="70809"/>
    <s v="Government"/>
    <x v="0"/>
    <s v="Coimbatore"/>
    <s v="Recovered"/>
    <n v="1"/>
  </r>
  <r>
    <s v="P0498"/>
    <n v="76"/>
    <s v="Male"/>
    <s v="Respiratory"/>
    <s v="General Medicine"/>
    <s v="Dr. Meena"/>
    <d v="2025-03-25T00:00:00"/>
    <d v="2025-03-26T00:00:00"/>
    <n v="150158"/>
    <s v="Corporate"/>
    <x v="3"/>
    <s v="Chennai"/>
    <s v="Under Treatment"/>
    <n v="1"/>
  </r>
  <r>
    <s v="P0499"/>
    <n v="53"/>
    <s v="Female"/>
    <s v="Infection"/>
    <s v="Cardiology"/>
    <s v="Dr. Priya"/>
    <d v="2024-06-24T00:00:00"/>
    <d v="2024-06-26T00:00:00"/>
    <n v="97965"/>
    <s v="Government"/>
    <x v="0"/>
    <s v="Coimbatore"/>
    <s v="Follow-up"/>
    <n v="4"/>
  </r>
  <r>
    <s v="P0500"/>
    <n v="27"/>
    <s v="Female"/>
    <s v="Infection"/>
    <s v="Orthopedics"/>
    <s v="Dr. Priya"/>
    <d v="2025-02-11T00:00:00"/>
    <d v="2025-02-24T00:00:00"/>
    <n v="104026"/>
    <s v="Private"/>
    <x v="0"/>
    <s v="Madurai"/>
    <s v="Under Treatment"/>
    <n v="3"/>
  </r>
  <r>
    <s v="P0501"/>
    <n v="18"/>
    <s v="Male"/>
    <s v="Neurological"/>
    <s v="General Medicine"/>
    <s v="Dr. Priya"/>
    <d v="2024-05-25T00:00:00"/>
    <d v="2024-06-10T00:00:00"/>
    <n v="193991"/>
    <s v="Private"/>
    <x v="2"/>
    <s v="Madurai"/>
    <s v="Under Treatment"/>
    <n v="4"/>
  </r>
  <r>
    <s v="P0502"/>
    <n v="71"/>
    <s v="Male"/>
    <s v="Cardiac"/>
    <s v="Cardiology"/>
    <s v="Dr. Kumar"/>
    <d v="2024-06-25T00:00:00"/>
    <d v="2024-06-28T00:00:00"/>
    <n v="235369"/>
    <s v="Private"/>
    <x v="2"/>
    <s v="Madurai"/>
    <s v="Follow-up"/>
    <n v="1"/>
  </r>
  <r>
    <s v="P0503"/>
    <n v="59"/>
    <s v="Female"/>
    <s v="Respiratory"/>
    <s v="Neurology"/>
    <s v="Dr. Arun"/>
    <d v="2024-03-19T00:00:00"/>
    <d v="2024-04-05T00:00:00"/>
    <n v="44384"/>
    <s v="Private"/>
    <x v="3"/>
    <s v="Chennai"/>
    <s v="Recovered"/>
    <n v="4"/>
  </r>
  <r>
    <s v="P0504"/>
    <n v="45"/>
    <s v="Female"/>
    <s v="Cancer"/>
    <s v="General Medicine"/>
    <s v="Dr. Kumar"/>
    <d v="2025-07-14T00:00:00"/>
    <d v="2025-07-17T00:00:00"/>
    <n v="207108"/>
    <s v="None"/>
    <x v="3"/>
    <s v="Bangalore"/>
    <s v="Recovered"/>
    <n v="4"/>
  </r>
  <r>
    <s v="P0505"/>
    <n v="46"/>
    <s v="Female"/>
    <s v="Cardiac"/>
    <s v="Orthopedics"/>
    <s v="Dr. Priya"/>
    <d v="2025-07-16T00:00:00"/>
    <d v="2025-07-27T00:00:00"/>
    <n v="49377"/>
    <s v="Government"/>
    <x v="1"/>
    <s v="Madurai"/>
    <s v="Under Treatment"/>
    <n v="4"/>
  </r>
  <r>
    <s v="P0506"/>
    <n v="68"/>
    <s v="Female"/>
    <s v="Diabetes"/>
    <s v="Orthopedics"/>
    <s v="Dr. Meena"/>
    <d v="2025-09-01T00:00:00"/>
    <d v="2025-09-14T00:00:00"/>
    <n v="28441"/>
    <s v="Corporate"/>
    <x v="1"/>
    <s v="Chennai"/>
    <s v="Recovered"/>
    <n v="1"/>
  </r>
  <r>
    <s v="P0507"/>
    <n v="76"/>
    <s v="Female"/>
    <s v="Orthopedic"/>
    <s v="General Medicine"/>
    <s v="Dr. Raj"/>
    <d v="2024-04-16T00:00:00"/>
    <d v="2024-04-25T00:00:00"/>
    <n v="34661"/>
    <s v="Government"/>
    <x v="0"/>
    <s v="Chennai"/>
    <s v="Under Treatment"/>
    <n v="1"/>
  </r>
  <r>
    <s v="P0508"/>
    <n v="20"/>
    <s v="Female"/>
    <s v="Respiratory"/>
    <s v="Cardiology"/>
    <s v="Dr. Raj"/>
    <d v="2024-08-30T00:00:00"/>
    <d v="2024-09-16T00:00:00"/>
    <n v="105641"/>
    <s v="Corporate"/>
    <x v="2"/>
    <s v="Coimbatore"/>
    <s v="Follow-up"/>
    <n v="5"/>
  </r>
  <r>
    <s v="P0509"/>
    <n v="48"/>
    <s v="Female"/>
    <s v="Diabetes"/>
    <s v="Oncology"/>
    <s v="Dr. Meena"/>
    <d v="2024-11-30T00:00:00"/>
    <d v="2024-12-13T00:00:00"/>
    <n v="35863"/>
    <s v="Government"/>
    <x v="1"/>
    <s v="Madurai"/>
    <s v="Follow-up"/>
    <n v="3"/>
  </r>
  <r>
    <s v="P0510"/>
    <n v="18"/>
    <s v="Male"/>
    <s v="Respiratory"/>
    <s v="Pulmonology"/>
    <s v="Dr. Meena"/>
    <d v="2024-05-21T00:00:00"/>
    <d v="2024-05-26T00:00:00"/>
    <n v="190215"/>
    <s v="Government"/>
    <x v="2"/>
    <s v="Chennai"/>
    <s v="Follow-up"/>
    <n v="3"/>
  </r>
  <r>
    <s v="P0511"/>
    <n v="30"/>
    <s v="Female"/>
    <s v="Infection"/>
    <s v="Cardiology"/>
    <s v="Dr. Raj"/>
    <d v="2024-10-24T00:00:00"/>
    <d v="2024-11-10T00:00:00"/>
    <n v="188163"/>
    <s v="Government"/>
    <x v="2"/>
    <s v="Madurai"/>
    <s v="Under Treatment"/>
    <n v="1"/>
  </r>
  <r>
    <s v="P0512"/>
    <n v="53"/>
    <s v="Female"/>
    <s v="Infection"/>
    <s v="Pulmonology"/>
    <s v="Dr. Priya"/>
    <d v="2024-03-31T00:00:00"/>
    <d v="2024-04-02T00:00:00"/>
    <n v="98896"/>
    <s v="Private"/>
    <x v="3"/>
    <s v="Chennai"/>
    <s v="Follow-up"/>
    <n v="2"/>
  </r>
  <r>
    <s v="P0513"/>
    <n v="74"/>
    <s v="Female"/>
    <s v="Infection"/>
    <s v="Orthopedics"/>
    <s v="Dr. Arun"/>
    <d v="2024-03-18T00:00:00"/>
    <d v="2024-03-30T00:00:00"/>
    <n v="97955"/>
    <s v="None"/>
    <x v="3"/>
    <s v="Hyderabad"/>
    <s v="Recovered"/>
    <n v="4"/>
  </r>
  <r>
    <s v="P0514"/>
    <n v="60"/>
    <s v="Female"/>
    <s v="Respiratory"/>
    <s v="Pulmonology"/>
    <s v="Dr. Arun"/>
    <d v="2024-08-26T00:00:00"/>
    <d v="2024-09-04T00:00:00"/>
    <n v="100176"/>
    <s v="Corporate"/>
    <x v="0"/>
    <s v="Madurai"/>
    <s v="Follow-up"/>
    <n v="1"/>
  </r>
  <r>
    <s v="P0515"/>
    <n v="70"/>
    <s v="Male"/>
    <s v="Neurological"/>
    <s v="Orthopedics"/>
    <s v="Dr. Arun"/>
    <d v="2024-09-15T00:00:00"/>
    <d v="2024-10-03T00:00:00"/>
    <n v="153832"/>
    <s v="Corporate"/>
    <x v="2"/>
    <s v="Bangalore"/>
    <s v="Follow-up"/>
    <n v="3"/>
  </r>
  <r>
    <s v="P0516"/>
    <n v="69"/>
    <s v="Male"/>
    <s v="Neurological"/>
    <s v="Oncology"/>
    <s v="Dr. Priya"/>
    <d v="2025-07-11T00:00:00"/>
    <d v="2025-07-26T00:00:00"/>
    <n v="78588"/>
    <s v="Corporate"/>
    <x v="1"/>
    <s v="Bangalore"/>
    <s v="Follow-up"/>
    <n v="4"/>
  </r>
  <r>
    <s v="P0517"/>
    <n v="31"/>
    <s v="Male"/>
    <s v="Diabetes"/>
    <s v="Orthopedics"/>
    <s v="Dr. Raj"/>
    <d v="2024-10-10T00:00:00"/>
    <d v="2024-10-19T00:00:00"/>
    <n v="52925"/>
    <s v="Private"/>
    <x v="3"/>
    <s v="Bangalore"/>
    <s v="Follow-up"/>
    <n v="5"/>
  </r>
  <r>
    <s v="P0518"/>
    <n v="35"/>
    <s v="Male"/>
    <s v="Infection"/>
    <s v="Pulmonology"/>
    <s v="Dr. Kumar"/>
    <d v="2024-04-10T00:00:00"/>
    <d v="2024-04-17T00:00:00"/>
    <n v="174402"/>
    <s v="Government"/>
    <x v="0"/>
    <s v="Madurai"/>
    <s v="Follow-up"/>
    <n v="5"/>
  </r>
  <r>
    <s v="P0519"/>
    <n v="49"/>
    <s v="Male"/>
    <s v="Orthopedic"/>
    <s v="Orthopedics"/>
    <s v="Dr. Raj"/>
    <d v="2025-04-21T00:00:00"/>
    <d v="2025-05-03T00:00:00"/>
    <n v="8741"/>
    <s v="None"/>
    <x v="1"/>
    <s v="Madurai"/>
    <s v="Follow-up"/>
    <n v="1"/>
  </r>
  <r>
    <s v="P0520"/>
    <n v="73"/>
    <s v="Female"/>
    <s v="Orthopedic"/>
    <s v="Orthopedics"/>
    <s v="Dr. Raj"/>
    <d v="2024-11-02T00:00:00"/>
    <d v="2024-11-14T00:00:00"/>
    <n v="134538"/>
    <s v="None"/>
    <x v="3"/>
    <s v="Hyderabad"/>
    <s v="Under Treatment"/>
    <n v="4"/>
  </r>
  <r>
    <s v="P0521"/>
    <n v="66"/>
    <s v="Male"/>
    <s v="Diabetes"/>
    <s v="General Medicine"/>
    <s v="Dr. Priya"/>
    <d v="2025-10-07T00:00:00"/>
    <d v="2025-10-12T00:00:00"/>
    <n v="33960"/>
    <s v="Private"/>
    <x v="1"/>
    <s v="Madurai"/>
    <s v="Follow-up"/>
    <n v="1"/>
  </r>
  <r>
    <s v="P0522"/>
    <n v="68"/>
    <s v="Female"/>
    <s v="Diabetes"/>
    <s v="Neurology"/>
    <s v="Dr. Meena"/>
    <d v="2025-06-22T00:00:00"/>
    <d v="2025-07-07T00:00:00"/>
    <n v="110980"/>
    <s v="Corporate"/>
    <x v="3"/>
    <s v="Bangalore"/>
    <s v="Recovered"/>
    <n v="4"/>
  </r>
  <r>
    <s v="P0523"/>
    <n v="33"/>
    <s v="Female"/>
    <s v="Diabetes"/>
    <s v="Neurology"/>
    <s v="Dr. Raj"/>
    <d v="2025-08-12T00:00:00"/>
    <d v="2025-08-22T00:00:00"/>
    <n v="223496"/>
    <s v="Private"/>
    <x v="0"/>
    <s v="Hyderabad"/>
    <s v="Follow-up"/>
    <n v="5"/>
  </r>
  <r>
    <s v="P0524"/>
    <n v="31"/>
    <s v="Female"/>
    <s v="Cancer"/>
    <s v="Orthopedics"/>
    <s v="Dr. Arun"/>
    <d v="2024-12-31T00:00:00"/>
    <d v="2025-01-08T00:00:00"/>
    <n v="227828"/>
    <s v="Corporate"/>
    <x v="1"/>
    <s v="Bangalore"/>
    <s v="Follow-up"/>
    <n v="2"/>
  </r>
  <r>
    <s v="P0525"/>
    <n v="56"/>
    <s v="Male"/>
    <s v="Infection"/>
    <s v="Cardiology"/>
    <s v="Dr. Meena"/>
    <d v="2024-09-05T00:00:00"/>
    <d v="2024-09-06T00:00:00"/>
    <n v="30917"/>
    <s v="Private"/>
    <x v="2"/>
    <s v="Coimbatore"/>
    <s v="Under Treatment"/>
    <n v="5"/>
  </r>
  <r>
    <s v="P0526"/>
    <n v="47"/>
    <s v="Male"/>
    <s v="Respiratory"/>
    <s v="Neurology"/>
    <s v="Dr. Meena"/>
    <d v="2024-02-26T00:00:00"/>
    <d v="2024-03-05T00:00:00"/>
    <n v="209069"/>
    <s v="None"/>
    <x v="1"/>
    <s v="Hyderabad"/>
    <s v="Follow-up"/>
    <n v="5"/>
  </r>
  <r>
    <s v="P0527"/>
    <n v="29"/>
    <s v="Male"/>
    <s v="Cancer"/>
    <s v="Pulmonology"/>
    <s v="Dr. Arun"/>
    <d v="2025-09-09T00:00:00"/>
    <d v="2025-09-23T00:00:00"/>
    <n v="133823"/>
    <s v="Government"/>
    <x v="0"/>
    <s v="Hyderabad"/>
    <s v="Follow-up"/>
    <n v="5"/>
  </r>
  <r>
    <s v="P0528"/>
    <n v="71"/>
    <s v="Female"/>
    <s v="Infection"/>
    <s v="Oncology"/>
    <s v="Dr. Priya"/>
    <d v="2025-03-30T00:00:00"/>
    <d v="2025-04-11T00:00:00"/>
    <n v="19662"/>
    <s v="Corporate"/>
    <x v="3"/>
    <s v="Bangalore"/>
    <s v="Follow-up"/>
    <n v="3"/>
  </r>
  <r>
    <s v="P0529"/>
    <n v="21"/>
    <s v="Male"/>
    <s v="Neurological"/>
    <s v="Orthopedics"/>
    <s v="Dr. Priya"/>
    <d v="2024-11-06T00:00:00"/>
    <d v="2024-11-25T00:00:00"/>
    <n v="11071"/>
    <s v="Government"/>
    <x v="1"/>
    <s v="Madurai"/>
    <s v="Follow-up"/>
    <n v="3"/>
  </r>
  <r>
    <s v="P0530"/>
    <n v="83"/>
    <s v="Female"/>
    <s v="Diabetes"/>
    <s v="Oncology"/>
    <s v="Dr. Raj"/>
    <d v="2025-05-23T00:00:00"/>
    <d v="2025-06-08T00:00:00"/>
    <n v="142722"/>
    <s v="Government"/>
    <x v="3"/>
    <s v="Hyderabad"/>
    <s v="Follow-up"/>
    <n v="1"/>
  </r>
  <r>
    <s v="P0531"/>
    <n v="35"/>
    <s v="Female"/>
    <s v="Respiratory"/>
    <s v="Neurology"/>
    <s v="Dr. Meena"/>
    <d v="2025-10-05T00:00:00"/>
    <d v="2025-10-20T00:00:00"/>
    <n v="92162"/>
    <s v="None"/>
    <x v="1"/>
    <s v="Chennai"/>
    <s v="Follow-up"/>
    <n v="2"/>
  </r>
  <r>
    <s v="P0532"/>
    <n v="41"/>
    <s v="Female"/>
    <s v="Cardiac"/>
    <s v="Orthopedics"/>
    <s v="Dr. Meena"/>
    <d v="2024-06-21T00:00:00"/>
    <d v="2024-06-22T00:00:00"/>
    <n v="76849"/>
    <s v="Private"/>
    <x v="1"/>
    <s v="Hyderabad"/>
    <s v="Follow-up"/>
    <n v="3"/>
  </r>
  <r>
    <s v="P0533"/>
    <n v="25"/>
    <s v="Male"/>
    <s v="Cardiac"/>
    <s v="General Medicine"/>
    <s v="Dr. Kumar"/>
    <d v="2024-03-27T00:00:00"/>
    <d v="2024-04-09T00:00:00"/>
    <n v="154171"/>
    <s v="None"/>
    <x v="1"/>
    <s v="Chennai"/>
    <s v="Under Treatment"/>
    <n v="1"/>
  </r>
  <r>
    <s v="P0534"/>
    <n v="49"/>
    <s v="Female"/>
    <s v="Diabetes"/>
    <s v="Cardiology"/>
    <s v="Dr. Priya"/>
    <d v="2025-08-06T00:00:00"/>
    <d v="2025-08-20T00:00:00"/>
    <n v="216025"/>
    <s v="Corporate"/>
    <x v="3"/>
    <s v="Madurai"/>
    <s v="Follow-up"/>
    <n v="1"/>
  </r>
  <r>
    <s v="P0535"/>
    <n v="61"/>
    <s v="Male"/>
    <s v="Neurological"/>
    <s v="General Medicine"/>
    <s v="Dr. Arun"/>
    <d v="2025-12-19T00:00:00"/>
    <d v="2026-01-07T00:00:00"/>
    <n v="73647"/>
    <s v="Corporate"/>
    <x v="2"/>
    <s v="Chennai"/>
    <s v="Under Treatment"/>
    <n v="3"/>
  </r>
  <r>
    <s v="P0536"/>
    <n v="32"/>
    <s v="Female"/>
    <s v="Neurological"/>
    <s v="Orthopedics"/>
    <s v="Dr. Meena"/>
    <d v="2025-10-16T00:00:00"/>
    <d v="2025-10-21T00:00:00"/>
    <n v="42984"/>
    <s v="None"/>
    <x v="1"/>
    <s v="Hyderabad"/>
    <s v="Under Treatment"/>
    <n v="1"/>
  </r>
  <r>
    <s v="P0537"/>
    <n v="28"/>
    <s v="Female"/>
    <s v="Orthopedic"/>
    <s v="Oncology"/>
    <s v="Dr. Meena"/>
    <d v="2025-10-06T00:00:00"/>
    <d v="2025-10-26T00:00:00"/>
    <n v="186918"/>
    <s v="Private"/>
    <x v="3"/>
    <s v="Chennai"/>
    <s v="Recovered"/>
    <n v="5"/>
  </r>
  <r>
    <s v="P0538"/>
    <n v="28"/>
    <s v="Male"/>
    <s v="Cardiac"/>
    <s v="Orthopedics"/>
    <s v="Dr. Kumar"/>
    <d v="2025-01-05T00:00:00"/>
    <d v="2025-01-12T00:00:00"/>
    <n v="7317"/>
    <s v="None"/>
    <x v="2"/>
    <s v="Bangalore"/>
    <s v="Under Treatment"/>
    <n v="5"/>
  </r>
  <r>
    <s v="P0539"/>
    <n v="77"/>
    <s v="Male"/>
    <s v="Neurological"/>
    <s v="Cardiology"/>
    <s v="Dr. Priya"/>
    <d v="2025-01-06T00:00:00"/>
    <d v="2025-01-21T00:00:00"/>
    <n v="64134"/>
    <s v="Corporate"/>
    <x v="3"/>
    <s v="Madurai"/>
    <s v="Follow-up"/>
    <n v="2"/>
  </r>
  <r>
    <s v="P0540"/>
    <n v="57"/>
    <s v="Male"/>
    <s v="Respiratory"/>
    <s v="Orthopedics"/>
    <s v="Dr. Raj"/>
    <d v="2025-05-07T00:00:00"/>
    <d v="2025-05-17T00:00:00"/>
    <n v="11976"/>
    <s v="Corporate"/>
    <x v="0"/>
    <s v="Madurai"/>
    <s v="Follow-up"/>
    <n v="4"/>
  </r>
  <r>
    <s v="P0541"/>
    <n v="85"/>
    <s v="Male"/>
    <s v="Respiratory"/>
    <s v="General Medicine"/>
    <s v="Dr. Arun"/>
    <d v="2024-08-15T00:00:00"/>
    <d v="2024-08-18T00:00:00"/>
    <n v="235349"/>
    <s v="Corporate"/>
    <x v="0"/>
    <s v="Hyderabad"/>
    <s v="Follow-up"/>
    <n v="2"/>
  </r>
  <r>
    <s v="P0542"/>
    <n v="85"/>
    <s v="Female"/>
    <s v="Diabetes"/>
    <s v="Cardiology"/>
    <s v="Dr. Priya"/>
    <d v="2025-08-14T00:00:00"/>
    <d v="2025-08-18T00:00:00"/>
    <n v="87679"/>
    <s v="None"/>
    <x v="3"/>
    <s v="Bangalore"/>
    <s v="Follow-up"/>
    <n v="1"/>
  </r>
  <r>
    <s v="P0543"/>
    <n v="71"/>
    <s v="Male"/>
    <s v="Cancer"/>
    <s v="Neurology"/>
    <s v="Dr. Raj"/>
    <d v="2025-04-06T00:00:00"/>
    <d v="2025-04-08T00:00:00"/>
    <n v="14796"/>
    <s v="Corporate"/>
    <x v="0"/>
    <s v="Madurai"/>
    <s v="Recovered"/>
    <n v="1"/>
  </r>
  <r>
    <s v="P0544"/>
    <n v="42"/>
    <s v="Male"/>
    <s v="Cardiac"/>
    <s v="General Medicine"/>
    <s v="Dr. Arun"/>
    <d v="2025-12-28T00:00:00"/>
    <d v="2026-01-01T00:00:00"/>
    <n v="53709"/>
    <s v="Government"/>
    <x v="0"/>
    <s v="Coimbatore"/>
    <s v="Under Treatment"/>
    <n v="1"/>
  </r>
  <r>
    <s v="P0545"/>
    <n v="57"/>
    <s v="Male"/>
    <s v="Infection"/>
    <s v="Orthopedics"/>
    <s v="Dr. Kumar"/>
    <d v="2024-12-21T00:00:00"/>
    <d v="2025-01-07T00:00:00"/>
    <n v="201097"/>
    <s v="None"/>
    <x v="1"/>
    <s v="Chennai"/>
    <s v="Follow-up"/>
    <n v="3"/>
  </r>
  <r>
    <s v="P0546"/>
    <n v="43"/>
    <s v="Female"/>
    <s v="Cancer"/>
    <s v="Orthopedics"/>
    <s v="Dr. Priya"/>
    <d v="2024-05-28T00:00:00"/>
    <d v="2024-06-17T00:00:00"/>
    <n v="232217"/>
    <s v="Government"/>
    <x v="1"/>
    <s v="Chennai"/>
    <s v="Under Treatment"/>
    <n v="4"/>
  </r>
  <r>
    <s v="P0547"/>
    <n v="30"/>
    <s v="Female"/>
    <s v="Cardiac"/>
    <s v="Oncology"/>
    <s v="Dr. Meena"/>
    <d v="2025-02-05T00:00:00"/>
    <d v="2025-02-09T00:00:00"/>
    <n v="197781"/>
    <s v="None"/>
    <x v="3"/>
    <s v="Bangalore"/>
    <s v="Under Treatment"/>
    <n v="5"/>
  </r>
  <r>
    <s v="P0548"/>
    <n v="31"/>
    <s v="Female"/>
    <s v="Orthopedic"/>
    <s v="Neurology"/>
    <s v="Dr. Meena"/>
    <d v="2024-12-16T00:00:00"/>
    <d v="2025-01-05T00:00:00"/>
    <n v="60583"/>
    <s v="None"/>
    <x v="2"/>
    <s v="Hyderabad"/>
    <s v="Recovered"/>
    <n v="2"/>
  </r>
  <r>
    <s v="P0549"/>
    <n v="79"/>
    <s v="Male"/>
    <s v="Infection"/>
    <s v="Cardiology"/>
    <s v="Dr. Kumar"/>
    <d v="2025-08-29T00:00:00"/>
    <d v="2025-09-06T00:00:00"/>
    <n v="173068"/>
    <s v="Government"/>
    <x v="1"/>
    <s v="Madurai"/>
    <s v="Recovered"/>
    <n v="5"/>
  </r>
  <r>
    <s v="P0550"/>
    <n v="27"/>
    <s v="Female"/>
    <s v="Respiratory"/>
    <s v="Oncology"/>
    <s v="Dr. Arun"/>
    <d v="2025-10-03T00:00:00"/>
    <d v="2025-10-09T00:00:00"/>
    <n v="150411"/>
    <s v="Private"/>
    <x v="0"/>
    <s v="Bangalore"/>
    <s v="Recovered"/>
    <n v="1"/>
  </r>
  <r>
    <s v="P0551"/>
    <n v="71"/>
    <s v="Female"/>
    <s v="Infection"/>
    <s v="Orthopedics"/>
    <s v="Dr. Kumar"/>
    <d v="2025-05-10T00:00:00"/>
    <d v="2025-05-21T00:00:00"/>
    <n v="217234"/>
    <s v="Private"/>
    <x v="0"/>
    <s v="Madurai"/>
    <s v="Recovered"/>
    <n v="4"/>
  </r>
  <r>
    <s v="P0552"/>
    <n v="63"/>
    <s v="Male"/>
    <s v="Cardiac"/>
    <s v="General Medicine"/>
    <s v="Dr. Meena"/>
    <d v="2024-01-11T00:00:00"/>
    <d v="2024-01-29T00:00:00"/>
    <n v="182430"/>
    <s v="Government"/>
    <x v="1"/>
    <s v="Hyderabad"/>
    <s v="Follow-up"/>
    <n v="2"/>
  </r>
  <r>
    <s v="P0553"/>
    <n v="51"/>
    <s v="Female"/>
    <s v="Diabetes"/>
    <s v="Orthopedics"/>
    <s v="Dr. Kumar"/>
    <d v="2024-07-21T00:00:00"/>
    <d v="2024-08-05T00:00:00"/>
    <n v="198388"/>
    <s v="Private"/>
    <x v="3"/>
    <s v="Madurai"/>
    <s v="Recovered"/>
    <n v="2"/>
  </r>
  <r>
    <s v="P0554"/>
    <n v="73"/>
    <s v="Female"/>
    <s v="Diabetes"/>
    <s v="Oncology"/>
    <s v="Dr. Meena"/>
    <d v="2024-03-16T00:00:00"/>
    <d v="2024-04-01T00:00:00"/>
    <n v="107390"/>
    <s v="Private"/>
    <x v="1"/>
    <s v="Chennai"/>
    <s v="Follow-up"/>
    <n v="4"/>
  </r>
  <r>
    <s v="P0555"/>
    <n v="45"/>
    <s v="Female"/>
    <s v="Neurological"/>
    <s v="Orthopedics"/>
    <s v="Dr. Raj"/>
    <d v="2025-05-16T00:00:00"/>
    <d v="2025-06-02T00:00:00"/>
    <n v="243333"/>
    <s v="Corporate"/>
    <x v="2"/>
    <s v="Bangalore"/>
    <s v="Follow-up"/>
    <n v="4"/>
  </r>
  <r>
    <s v="P0556"/>
    <n v="65"/>
    <s v="Female"/>
    <s v="Diabetes"/>
    <s v="Pulmonology"/>
    <s v="Dr. Raj"/>
    <d v="2025-06-26T00:00:00"/>
    <d v="2025-07-11T00:00:00"/>
    <n v="177805"/>
    <s v="None"/>
    <x v="1"/>
    <s v="Hyderabad"/>
    <s v="Follow-up"/>
    <n v="3"/>
  </r>
  <r>
    <s v="P0557"/>
    <n v="30"/>
    <s v="Male"/>
    <s v="Respiratory"/>
    <s v="Oncology"/>
    <s v="Dr. Priya"/>
    <d v="2024-08-17T00:00:00"/>
    <d v="2024-09-03T00:00:00"/>
    <n v="78888"/>
    <s v="None"/>
    <x v="0"/>
    <s v="Bangalore"/>
    <s v="Follow-up"/>
    <n v="4"/>
  </r>
  <r>
    <s v="P0558"/>
    <n v="38"/>
    <s v="Female"/>
    <s v="Neurological"/>
    <s v="Orthopedics"/>
    <s v="Dr. Raj"/>
    <d v="2025-05-05T00:00:00"/>
    <d v="2025-05-22T00:00:00"/>
    <n v="23122"/>
    <s v="Government"/>
    <x v="2"/>
    <s v="Madurai"/>
    <s v="Under Treatment"/>
    <n v="4"/>
  </r>
  <r>
    <s v="P0559"/>
    <n v="71"/>
    <s v="Male"/>
    <s v="Respiratory"/>
    <s v="Pulmonology"/>
    <s v="Dr. Priya"/>
    <d v="2025-03-11T00:00:00"/>
    <d v="2025-03-29T00:00:00"/>
    <n v="103836"/>
    <s v="Private"/>
    <x v="3"/>
    <s v="Coimbatore"/>
    <s v="Recovered"/>
    <n v="5"/>
  </r>
  <r>
    <s v="P0560"/>
    <n v="67"/>
    <s v="Male"/>
    <s v="Diabetes"/>
    <s v="Cardiology"/>
    <s v="Dr. Priya"/>
    <d v="2024-09-04T00:00:00"/>
    <d v="2024-09-10T00:00:00"/>
    <n v="147116"/>
    <s v="Government"/>
    <x v="2"/>
    <s v="Madurai"/>
    <s v="Recovered"/>
    <n v="3"/>
  </r>
  <r>
    <s v="P0561"/>
    <n v="18"/>
    <s v="Female"/>
    <s v="Respiratory"/>
    <s v="Pulmonology"/>
    <s v="Dr. Meena"/>
    <d v="2025-11-10T00:00:00"/>
    <d v="2025-11-19T00:00:00"/>
    <n v="10422"/>
    <s v="Private"/>
    <x v="2"/>
    <s v="Madurai"/>
    <s v="Follow-up"/>
    <n v="1"/>
  </r>
  <r>
    <s v="P0562"/>
    <n v="45"/>
    <s v="Male"/>
    <s v="Infection"/>
    <s v="Oncology"/>
    <s v="Dr. Priya"/>
    <d v="2024-07-21T00:00:00"/>
    <d v="2024-08-10T00:00:00"/>
    <n v="35518"/>
    <s v="None"/>
    <x v="3"/>
    <s v="Bangalore"/>
    <s v="Recovered"/>
    <n v="1"/>
  </r>
  <r>
    <s v="P0563"/>
    <n v="35"/>
    <s v="Female"/>
    <s v="Orthopedic"/>
    <s v="Neurology"/>
    <s v="Dr. Priya"/>
    <d v="2024-07-06T00:00:00"/>
    <d v="2024-07-18T00:00:00"/>
    <n v="65370"/>
    <s v="None"/>
    <x v="3"/>
    <s v="Hyderabad"/>
    <s v="Under Treatment"/>
    <n v="1"/>
  </r>
  <r>
    <s v="P0564"/>
    <n v="36"/>
    <s v="Male"/>
    <s v="Orthopedic"/>
    <s v="Cardiology"/>
    <s v="Dr. Raj"/>
    <d v="2024-05-28T00:00:00"/>
    <d v="2024-06-15T00:00:00"/>
    <n v="131115"/>
    <s v="Government"/>
    <x v="1"/>
    <s v="Hyderabad"/>
    <s v="Recovered"/>
    <n v="4"/>
  </r>
  <r>
    <s v="P0565"/>
    <n v="46"/>
    <s v="Female"/>
    <s v="Neurological"/>
    <s v="General Medicine"/>
    <s v="Dr. Arun"/>
    <d v="2024-12-04T00:00:00"/>
    <d v="2024-12-10T00:00:00"/>
    <n v="102058"/>
    <s v="Corporate"/>
    <x v="0"/>
    <s v="Coimbatore"/>
    <s v="Under Treatment"/>
    <n v="1"/>
  </r>
  <r>
    <s v="P0566"/>
    <n v="32"/>
    <s v="Male"/>
    <s v="Neurological"/>
    <s v="General Medicine"/>
    <s v="Dr. Arun"/>
    <d v="2024-07-17T00:00:00"/>
    <d v="2024-08-03T00:00:00"/>
    <n v="199309"/>
    <s v="Government"/>
    <x v="2"/>
    <s v="Chennai"/>
    <s v="Recovered"/>
    <n v="1"/>
  </r>
  <r>
    <s v="P0567"/>
    <n v="45"/>
    <s v="Male"/>
    <s v="Cancer"/>
    <s v="Orthopedics"/>
    <s v="Dr. Priya"/>
    <d v="2025-05-06T00:00:00"/>
    <d v="2025-05-23T00:00:00"/>
    <n v="20545"/>
    <s v="Government"/>
    <x v="1"/>
    <s v="Madurai"/>
    <s v="Follow-up"/>
    <n v="4"/>
  </r>
  <r>
    <s v="P0568"/>
    <n v="68"/>
    <s v="Male"/>
    <s v="Infection"/>
    <s v="Pulmonology"/>
    <s v="Dr. Meena"/>
    <d v="2025-12-09T00:00:00"/>
    <d v="2025-12-21T00:00:00"/>
    <n v="107793"/>
    <s v="Private"/>
    <x v="3"/>
    <s v="Coimbatore"/>
    <s v="Follow-up"/>
    <n v="4"/>
  </r>
  <r>
    <s v="P0569"/>
    <n v="70"/>
    <s v="Female"/>
    <s v="Orthopedic"/>
    <s v="Neurology"/>
    <s v="Dr. Raj"/>
    <d v="2025-04-09T00:00:00"/>
    <d v="2025-04-11T00:00:00"/>
    <n v="177871"/>
    <s v="None"/>
    <x v="1"/>
    <s v="Bangalore"/>
    <s v="Under Treatment"/>
    <n v="2"/>
  </r>
  <r>
    <s v="P0570"/>
    <n v="76"/>
    <s v="Male"/>
    <s v="Respiratory"/>
    <s v="General Medicine"/>
    <s v="Dr. Arun"/>
    <d v="2024-03-12T00:00:00"/>
    <d v="2024-03-25T00:00:00"/>
    <n v="55022"/>
    <s v="Corporate"/>
    <x v="3"/>
    <s v="Madurai"/>
    <s v="Recovered"/>
    <n v="4"/>
  </r>
  <r>
    <s v="P0571"/>
    <n v="29"/>
    <s v="Male"/>
    <s v="Cancer"/>
    <s v="Orthopedics"/>
    <s v="Dr. Kumar"/>
    <d v="2025-03-18T00:00:00"/>
    <d v="2025-03-22T00:00:00"/>
    <n v="124130"/>
    <s v="Corporate"/>
    <x v="0"/>
    <s v="Coimbatore"/>
    <s v="Follow-up"/>
    <n v="5"/>
  </r>
  <r>
    <s v="P0572"/>
    <n v="46"/>
    <s v="Male"/>
    <s v="Respiratory"/>
    <s v="Cardiology"/>
    <s v="Dr. Arun"/>
    <d v="2024-09-10T00:00:00"/>
    <d v="2024-09-12T00:00:00"/>
    <n v="187657"/>
    <s v="Private"/>
    <x v="1"/>
    <s v="Coimbatore"/>
    <s v="Follow-up"/>
    <n v="2"/>
  </r>
  <r>
    <s v="P0573"/>
    <n v="72"/>
    <s v="Male"/>
    <s v="Respiratory"/>
    <s v="Neurology"/>
    <s v="Dr. Kumar"/>
    <d v="2025-10-31T00:00:00"/>
    <d v="2025-11-12T00:00:00"/>
    <n v="223242"/>
    <s v="Government"/>
    <x v="0"/>
    <s v="Coimbatore"/>
    <s v="Recovered"/>
    <n v="3"/>
  </r>
  <r>
    <s v="P0574"/>
    <n v="85"/>
    <s v="Female"/>
    <s v="Neurological"/>
    <s v="General Medicine"/>
    <s v="Dr. Meena"/>
    <d v="2024-03-06T00:00:00"/>
    <d v="2024-03-24T00:00:00"/>
    <n v="11531"/>
    <s v="Government"/>
    <x v="3"/>
    <s v="Chennai"/>
    <s v="Recovered"/>
    <n v="1"/>
  </r>
  <r>
    <s v="P0575"/>
    <n v="31"/>
    <s v="Female"/>
    <s v="Infection"/>
    <s v="Oncology"/>
    <s v="Dr. Priya"/>
    <d v="2025-07-20T00:00:00"/>
    <d v="2025-07-24T00:00:00"/>
    <n v="127235"/>
    <s v="Government"/>
    <x v="2"/>
    <s v="Chennai"/>
    <s v="Under Treatment"/>
    <n v="5"/>
  </r>
  <r>
    <s v="P0576"/>
    <n v="79"/>
    <s v="Male"/>
    <s v="Diabetes"/>
    <s v="Cardiology"/>
    <s v="Dr. Raj"/>
    <d v="2025-02-19T00:00:00"/>
    <d v="2025-03-02T00:00:00"/>
    <n v="231363"/>
    <s v="Corporate"/>
    <x v="2"/>
    <s v="Chennai"/>
    <s v="Under Treatment"/>
    <n v="4"/>
  </r>
  <r>
    <s v="P0577"/>
    <n v="54"/>
    <s v="Female"/>
    <s v="Respiratory"/>
    <s v="Orthopedics"/>
    <s v="Dr. Kumar"/>
    <d v="2024-04-26T00:00:00"/>
    <d v="2024-04-27T00:00:00"/>
    <n v="20668"/>
    <s v="Corporate"/>
    <x v="2"/>
    <s v="Coimbatore"/>
    <s v="Recovered"/>
    <n v="1"/>
  </r>
  <r>
    <s v="P0578"/>
    <n v="49"/>
    <s v="Male"/>
    <s v="Diabetes"/>
    <s v="Cardiology"/>
    <s v="Dr. Priya"/>
    <d v="2024-04-07T00:00:00"/>
    <d v="2024-04-13T00:00:00"/>
    <n v="44328"/>
    <s v="None"/>
    <x v="0"/>
    <s v="Bangalore"/>
    <s v="Recovered"/>
    <n v="4"/>
  </r>
  <r>
    <s v="P0579"/>
    <n v="24"/>
    <s v="Male"/>
    <s v="Diabetes"/>
    <s v="General Medicine"/>
    <s v="Dr. Priya"/>
    <d v="2025-01-02T00:00:00"/>
    <d v="2025-01-09T00:00:00"/>
    <n v="222571"/>
    <s v="Private"/>
    <x v="3"/>
    <s v="Hyderabad"/>
    <s v="Recovered"/>
    <n v="3"/>
  </r>
  <r>
    <s v="P0580"/>
    <n v="23"/>
    <s v="Female"/>
    <s v="Cardiac"/>
    <s v="Oncology"/>
    <s v="Dr. Raj"/>
    <d v="2024-06-15T00:00:00"/>
    <d v="2024-06-16T00:00:00"/>
    <n v="159048"/>
    <s v="Private"/>
    <x v="3"/>
    <s v="Madurai"/>
    <s v="Under Treatment"/>
    <n v="1"/>
  </r>
  <r>
    <s v="P0581"/>
    <n v="83"/>
    <s v="Male"/>
    <s v="Cancer"/>
    <s v="Orthopedics"/>
    <s v="Dr. Raj"/>
    <d v="2024-09-12T00:00:00"/>
    <d v="2024-09-28T00:00:00"/>
    <n v="138379"/>
    <s v="None"/>
    <x v="1"/>
    <s v="Chennai"/>
    <s v="Follow-up"/>
    <n v="4"/>
  </r>
  <r>
    <s v="P0582"/>
    <n v="28"/>
    <s v="Male"/>
    <s v="Neurological"/>
    <s v="Pulmonology"/>
    <s v="Dr. Priya"/>
    <d v="2024-04-14T00:00:00"/>
    <d v="2024-05-02T00:00:00"/>
    <n v="167400"/>
    <s v="Private"/>
    <x v="2"/>
    <s v="Madurai"/>
    <s v="Follow-up"/>
    <n v="3"/>
  </r>
  <r>
    <s v="P0583"/>
    <n v="35"/>
    <s v="Female"/>
    <s v="Cardiac"/>
    <s v="Pulmonology"/>
    <s v="Dr. Arun"/>
    <d v="2024-06-15T00:00:00"/>
    <d v="2024-06-18T00:00:00"/>
    <n v="197666"/>
    <s v="Private"/>
    <x v="2"/>
    <s v="Chennai"/>
    <s v="Under Treatment"/>
    <n v="5"/>
  </r>
  <r>
    <s v="P0584"/>
    <n v="51"/>
    <s v="Male"/>
    <s v="Cancer"/>
    <s v="Cardiology"/>
    <s v="Dr. Raj"/>
    <d v="2024-07-31T00:00:00"/>
    <d v="2024-08-18T00:00:00"/>
    <n v="213722"/>
    <s v="Government"/>
    <x v="0"/>
    <s v="Chennai"/>
    <s v="Recovered"/>
    <n v="5"/>
  </r>
  <r>
    <s v="P0585"/>
    <n v="37"/>
    <s v="Male"/>
    <s v="Cardiac"/>
    <s v="Oncology"/>
    <s v="Dr. Meena"/>
    <d v="2025-02-25T00:00:00"/>
    <d v="2025-03-03T00:00:00"/>
    <n v="80669"/>
    <s v="Government"/>
    <x v="0"/>
    <s v="Coimbatore"/>
    <s v="Under Treatment"/>
    <n v="1"/>
  </r>
  <r>
    <s v="P0586"/>
    <n v="32"/>
    <s v="Male"/>
    <s v="Neurological"/>
    <s v="Neurology"/>
    <s v="Dr. Raj"/>
    <d v="2025-10-13T00:00:00"/>
    <d v="2025-10-14T00:00:00"/>
    <n v="54058"/>
    <s v="Corporate"/>
    <x v="0"/>
    <s v="Bangalore"/>
    <s v="Follow-up"/>
    <n v="1"/>
  </r>
  <r>
    <s v="P0587"/>
    <n v="21"/>
    <s v="Female"/>
    <s v="Respiratory"/>
    <s v="Orthopedics"/>
    <s v="Dr. Meena"/>
    <d v="2025-02-10T00:00:00"/>
    <d v="2025-02-19T00:00:00"/>
    <n v="243526"/>
    <s v="Government"/>
    <x v="2"/>
    <s v="Chennai"/>
    <s v="Follow-up"/>
    <n v="4"/>
  </r>
  <r>
    <s v="P0588"/>
    <n v="82"/>
    <s v="Male"/>
    <s v="Neurological"/>
    <s v="General Medicine"/>
    <s v="Dr. Kumar"/>
    <d v="2025-11-27T00:00:00"/>
    <d v="2025-12-02T00:00:00"/>
    <n v="52140"/>
    <s v="Corporate"/>
    <x v="0"/>
    <s v="Hyderabad"/>
    <s v="Follow-up"/>
    <n v="4"/>
  </r>
  <r>
    <s v="P0589"/>
    <n v="54"/>
    <s v="Female"/>
    <s v="Cardiac"/>
    <s v="Neurology"/>
    <s v="Dr. Kumar"/>
    <d v="2024-07-12T00:00:00"/>
    <d v="2024-07-22T00:00:00"/>
    <n v="79454"/>
    <s v="Corporate"/>
    <x v="2"/>
    <s v="Madurai"/>
    <s v="Under Treatment"/>
    <n v="2"/>
  </r>
  <r>
    <s v="P0590"/>
    <n v="48"/>
    <s v="Male"/>
    <s v="Diabetes"/>
    <s v="Pulmonology"/>
    <s v="Dr. Kumar"/>
    <d v="2024-05-06T00:00:00"/>
    <d v="2024-05-22T00:00:00"/>
    <n v="190572"/>
    <s v="Private"/>
    <x v="0"/>
    <s v="Bangalore"/>
    <s v="Recovered"/>
    <n v="3"/>
  </r>
  <r>
    <s v="P0591"/>
    <n v="26"/>
    <s v="Male"/>
    <s v="Orthopedic"/>
    <s v="Cardiology"/>
    <s v="Dr. Kumar"/>
    <d v="2025-03-22T00:00:00"/>
    <d v="2025-03-25T00:00:00"/>
    <n v="224224"/>
    <s v="Corporate"/>
    <x v="3"/>
    <s v="Bangalore"/>
    <s v="Under Treatment"/>
    <n v="3"/>
  </r>
  <r>
    <s v="P0592"/>
    <n v="69"/>
    <s v="Female"/>
    <s v="Cancer"/>
    <s v="Orthopedics"/>
    <s v="Dr. Arun"/>
    <d v="2025-05-03T00:00:00"/>
    <d v="2025-05-20T00:00:00"/>
    <n v="137442"/>
    <s v="Government"/>
    <x v="0"/>
    <s v="Coimbatore"/>
    <s v="Under Treatment"/>
    <n v="2"/>
  </r>
  <r>
    <s v="P0593"/>
    <n v="53"/>
    <s v="Female"/>
    <s v="Infection"/>
    <s v="General Medicine"/>
    <s v="Dr. Priya"/>
    <d v="2024-10-19T00:00:00"/>
    <d v="2024-10-27T00:00:00"/>
    <n v="137839"/>
    <s v="Private"/>
    <x v="2"/>
    <s v="Bangalore"/>
    <s v="Recovered"/>
    <n v="5"/>
  </r>
  <r>
    <s v="P0594"/>
    <n v="63"/>
    <s v="Male"/>
    <s v="Neurological"/>
    <s v="General Medicine"/>
    <s v="Dr. Kumar"/>
    <d v="2025-10-12T00:00:00"/>
    <d v="2025-10-17T00:00:00"/>
    <n v="164508"/>
    <s v="Corporate"/>
    <x v="1"/>
    <s v="Madurai"/>
    <s v="Recovered"/>
    <n v="5"/>
  </r>
  <r>
    <s v="P0595"/>
    <n v="66"/>
    <s v="Female"/>
    <s v="Neurological"/>
    <s v="Oncology"/>
    <s v="Dr. Meena"/>
    <d v="2025-10-26T00:00:00"/>
    <d v="2025-11-06T00:00:00"/>
    <n v="70604"/>
    <s v="None"/>
    <x v="1"/>
    <s v="Madurai"/>
    <s v="Recovered"/>
    <n v="1"/>
  </r>
  <r>
    <s v="P0596"/>
    <n v="37"/>
    <s v="Male"/>
    <s v="Cardiac"/>
    <s v="Cardiology"/>
    <s v="Dr. Raj"/>
    <d v="2025-05-16T00:00:00"/>
    <d v="2025-05-31T00:00:00"/>
    <n v="152446"/>
    <s v="Government"/>
    <x v="3"/>
    <s v="Madurai"/>
    <s v="Follow-up"/>
    <n v="3"/>
  </r>
  <r>
    <s v="P0597"/>
    <n v="46"/>
    <s v="Male"/>
    <s v="Respiratory"/>
    <s v="Oncology"/>
    <s v="Dr. Raj"/>
    <d v="2024-04-22T00:00:00"/>
    <d v="2024-04-24T00:00:00"/>
    <n v="181750"/>
    <s v="None"/>
    <x v="2"/>
    <s v="Bangalore"/>
    <s v="Under Treatment"/>
    <n v="5"/>
  </r>
  <r>
    <s v="P0598"/>
    <n v="79"/>
    <s v="Male"/>
    <s v="Infection"/>
    <s v="Orthopedics"/>
    <s v="Dr. Arun"/>
    <d v="2024-04-16T00:00:00"/>
    <d v="2024-04-24T00:00:00"/>
    <n v="18644"/>
    <s v="Government"/>
    <x v="2"/>
    <s v="Coimbatore"/>
    <s v="Recovered"/>
    <n v="1"/>
  </r>
  <r>
    <s v="P0599"/>
    <n v="68"/>
    <s v="Male"/>
    <s v="Cardiac"/>
    <s v="Neurology"/>
    <s v="Dr. Raj"/>
    <d v="2025-12-13T00:00:00"/>
    <d v="2025-12-31T00:00:00"/>
    <n v="146372"/>
    <s v="Private"/>
    <x v="3"/>
    <s v="Chennai"/>
    <s v="Under Treatment"/>
    <n v="1"/>
  </r>
  <r>
    <s v="P0600"/>
    <n v="40"/>
    <s v="Female"/>
    <s v="Infection"/>
    <s v="Cardiology"/>
    <s v="Dr. Priya"/>
    <d v="2025-09-11T00:00:00"/>
    <d v="2025-09-16T00:00:00"/>
    <n v="100318"/>
    <s v="Private"/>
    <x v="0"/>
    <s v="Hyderabad"/>
    <s v="Recovered"/>
    <n v="2"/>
  </r>
  <r>
    <s v="P0601"/>
    <n v="54"/>
    <s v="Male"/>
    <s v="Neurological"/>
    <s v="Cardiology"/>
    <s v="Dr. Raj"/>
    <d v="2025-03-05T00:00:00"/>
    <d v="2025-03-17T00:00:00"/>
    <n v="155816"/>
    <s v="Private"/>
    <x v="3"/>
    <s v="Bangalore"/>
    <s v="Follow-up"/>
    <n v="4"/>
  </r>
  <r>
    <s v="P0602"/>
    <n v="38"/>
    <s v="Male"/>
    <s v="Respiratory"/>
    <s v="Oncology"/>
    <s v="Dr. Priya"/>
    <d v="2025-06-22T00:00:00"/>
    <d v="2025-06-26T00:00:00"/>
    <n v="23979"/>
    <s v="Government"/>
    <x v="3"/>
    <s v="Hyderabad"/>
    <s v="Recovered"/>
    <n v="4"/>
  </r>
  <r>
    <s v="P0603"/>
    <n v="43"/>
    <s v="Female"/>
    <s v="Orthopedic"/>
    <s v="Neurology"/>
    <s v="Dr. Priya"/>
    <d v="2024-10-16T00:00:00"/>
    <d v="2024-10-27T00:00:00"/>
    <n v="153529"/>
    <s v="None"/>
    <x v="3"/>
    <s v="Coimbatore"/>
    <s v="Under Treatment"/>
    <n v="4"/>
  </r>
  <r>
    <s v="P0604"/>
    <n v="75"/>
    <s v="Female"/>
    <s v="Diabetes"/>
    <s v="General Medicine"/>
    <s v="Dr. Raj"/>
    <d v="2024-08-18T00:00:00"/>
    <d v="2024-09-03T00:00:00"/>
    <n v="118383"/>
    <s v="None"/>
    <x v="3"/>
    <s v="Bangalore"/>
    <s v="Under Treatment"/>
    <n v="4"/>
  </r>
  <r>
    <s v="P0605"/>
    <n v="24"/>
    <s v="Female"/>
    <s v="Neurological"/>
    <s v="Oncology"/>
    <s v="Dr. Arun"/>
    <d v="2025-12-30T00:00:00"/>
    <d v="2026-01-05T00:00:00"/>
    <n v="88099"/>
    <s v="Government"/>
    <x v="0"/>
    <s v="Hyderabad"/>
    <s v="Recovered"/>
    <n v="5"/>
  </r>
  <r>
    <s v="P0606"/>
    <n v="48"/>
    <s v="Female"/>
    <s v="Diabetes"/>
    <s v="General Medicine"/>
    <s v="Dr. Priya"/>
    <d v="2024-12-13T00:00:00"/>
    <d v="2025-01-01T00:00:00"/>
    <n v="236420"/>
    <s v="None"/>
    <x v="3"/>
    <s v="Chennai"/>
    <s v="Under Treatment"/>
    <n v="4"/>
  </r>
  <r>
    <s v="P0607"/>
    <n v="44"/>
    <s v="Female"/>
    <s v="Respiratory"/>
    <s v="General Medicine"/>
    <s v="Dr. Meena"/>
    <d v="2025-01-17T00:00:00"/>
    <d v="2025-01-26T00:00:00"/>
    <n v="133368"/>
    <s v="Government"/>
    <x v="1"/>
    <s v="Bangalore"/>
    <s v="Under Treatment"/>
    <n v="1"/>
  </r>
  <r>
    <s v="P0608"/>
    <n v="29"/>
    <s v="Female"/>
    <s v="Neurological"/>
    <s v="Neurology"/>
    <s v="Dr. Raj"/>
    <d v="2024-12-03T00:00:00"/>
    <d v="2024-12-07T00:00:00"/>
    <n v="212392"/>
    <s v="None"/>
    <x v="0"/>
    <s v="Coimbatore"/>
    <s v="Recovered"/>
    <n v="2"/>
  </r>
  <r>
    <s v="P0609"/>
    <n v="35"/>
    <s v="Female"/>
    <s v="Cancer"/>
    <s v="Orthopedics"/>
    <s v="Dr. Meena"/>
    <d v="2024-01-21T00:00:00"/>
    <d v="2024-02-10T00:00:00"/>
    <n v="207914"/>
    <s v="Corporate"/>
    <x v="2"/>
    <s v="Madurai"/>
    <s v="Follow-up"/>
    <n v="3"/>
  </r>
  <r>
    <s v="P0610"/>
    <n v="22"/>
    <s v="Female"/>
    <s v="Cardiac"/>
    <s v="Oncology"/>
    <s v="Dr. Kumar"/>
    <d v="2025-01-24T00:00:00"/>
    <d v="2025-01-29T00:00:00"/>
    <n v="107711"/>
    <s v="Private"/>
    <x v="3"/>
    <s v="Bangalore"/>
    <s v="Under Treatment"/>
    <n v="4"/>
  </r>
  <r>
    <s v="P0611"/>
    <n v="43"/>
    <s v="Male"/>
    <s v="Cancer"/>
    <s v="Oncology"/>
    <s v="Dr. Arun"/>
    <d v="2025-08-04T00:00:00"/>
    <d v="2025-08-05T00:00:00"/>
    <n v="75202"/>
    <s v="Private"/>
    <x v="0"/>
    <s v="Chennai"/>
    <s v="Recovered"/>
    <n v="1"/>
  </r>
  <r>
    <s v="P0612"/>
    <n v="52"/>
    <s v="Male"/>
    <s v="Respiratory"/>
    <s v="Oncology"/>
    <s v="Dr. Priya"/>
    <d v="2024-07-12T00:00:00"/>
    <d v="2024-07-23T00:00:00"/>
    <n v="125217"/>
    <s v="None"/>
    <x v="3"/>
    <s v="Madurai"/>
    <s v="Recovered"/>
    <n v="3"/>
  </r>
  <r>
    <s v="P0613"/>
    <n v="53"/>
    <s v="Female"/>
    <s v="Neurological"/>
    <s v="Pulmonology"/>
    <s v="Dr. Raj"/>
    <d v="2024-05-22T00:00:00"/>
    <d v="2024-05-28T00:00:00"/>
    <n v="178364"/>
    <s v="Government"/>
    <x v="2"/>
    <s v="Chennai"/>
    <s v="Recovered"/>
    <n v="5"/>
  </r>
  <r>
    <s v="P0614"/>
    <n v="40"/>
    <s v="Female"/>
    <s v="Cancer"/>
    <s v="Neurology"/>
    <s v="Dr. Priya"/>
    <d v="2025-07-17T00:00:00"/>
    <d v="2025-08-05T00:00:00"/>
    <n v="180397"/>
    <s v="None"/>
    <x v="2"/>
    <s v="Madurai"/>
    <s v="Follow-up"/>
    <n v="2"/>
  </r>
  <r>
    <s v="P0615"/>
    <n v="60"/>
    <s v="Female"/>
    <s v="Infection"/>
    <s v="Orthopedics"/>
    <s v="Dr. Arun"/>
    <d v="2024-06-11T00:00:00"/>
    <d v="2024-06-25T00:00:00"/>
    <n v="31999"/>
    <s v="Private"/>
    <x v="3"/>
    <s v="Hyderabad"/>
    <s v="Recovered"/>
    <n v="3"/>
  </r>
  <r>
    <s v="P0616"/>
    <n v="57"/>
    <s v="Male"/>
    <s v="Respiratory"/>
    <s v="Cardiology"/>
    <s v="Dr. Priya"/>
    <d v="2025-11-23T00:00:00"/>
    <d v="2025-11-30T00:00:00"/>
    <n v="118548"/>
    <s v="Private"/>
    <x v="2"/>
    <s v="Bangalore"/>
    <s v="Follow-up"/>
    <n v="2"/>
  </r>
  <r>
    <s v="P0617"/>
    <n v="59"/>
    <s v="Female"/>
    <s v="Orthopedic"/>
    <s v="General Medicine"/>
    <s v="Dr. Kumar"/>
    <d v="2025-09-14T00:00:00"/>
    <d v="2025-09-25T00:00:00"/>
    <n v="55804"/>
    <s v="None"/>
    <x v="2"/>
    <s v="Chennai"/>
    <s v="Recovered"/>
    <n v="3"/>
  </r>
  <r>
    <s v="P0618"/>
    <n v="41"/>
    <s v="Male"/>
    <s v="Cardiac"/>
    <s v="Orthopedics"/>
    <s v="Dr. Meena"/>
    <d v="2025-08-20T00:00:00"/>
    <d v="2025-08-26T00:00:00"/>
    <n v="54133"/>
    <s v="Private"/>
    <x v="3"/>
    <s v="Hyderabad"/>
    <s v="Recovered"/>
    <n v="2"/>
  </r>
  <r>
    <s v="P0619"/>
    <n v="57"/>
    <s v="Male"/>
    <s v="Infection"/>
    <s v="Orthopedics"/>
    <s v="Dr. Kumar"/>
    <d v="2025-08-19T00:00:00"/>
    <d v="2025-08-25T00:00:00"/>
    <n v="133135"/>
    <s v="Government"/>
    <x v="0"/>
    <s v="Bangalore"/>
    <s v="Follow-up"/>
    <n v="2"/>
  </r>
  <r>
    <s v="P0620"/>
    <n v="27"/>
    <s v="Female"/>
    <s v="Cardiac"/>
    <s v="Neurology"/>
    <s v="Dr. Kumar"/>
    <d v="2024-12-29T00:00:00"/>
    <d v="2025-01-18T00:00:00"/>
    <n v="18714"/>
    <s v="Corporate"/>
    <x v="3"/>
    <s v="Chennai"/>
    <s v="Follow-up"/>
    <n v="5"/>
  </r>
  <r>
    <s v="P0621"/>
    <n v="34"/>
    <s v="Male"/>
    <s v="Diabetes"/>
    <s v="Orthopedics"/>
    <s v="Dr. Kumar"/>
    <d v="2025-09-25T00:00:00"/>
    <d v="2025-10-08T00:00:00"/>
    <n v="187523"/>
    <s v="None"/>
    <x v="2"/>
    <s v="Coimbatore"/>
    <s v="Recovered"/>
    <n v="5"/>
  </r>
  <r>
    <s v="P0622"/>
    <n v="67"/>
    <s v="Male"/>
    <s v="Respiratory"/>
    <s v="Pulmonology"/>
    <s v="Dr. Raj"/>
    <d v="2024-10-11T00:00:00"/>
    <d v="2024-10-29T00:00:00"/>
    <n v="34829"/>
    <s v="None"/>
    <x v="2"/>
    <s v="Bangalore"/>
    <s v="Under Treatment"/>
    <n v="2"/>
  </r>
  <r>
    <s v="P0623"/>
    <n v="83"/>
    <s v="Female"/>
    <s v="Infection"/>
    <s v="Orthopedics"/>
    <s v="Dr. Priya"/>
    <d v="2024-01-01T00:00:00"/>
    <d v="2024-01-11T00:00:00"/>
    <n v="159046"/>
    <s v="Private"/>
    <x v="3"/>
    <s v="Chennai"/>
    <s v="Under Treatment"/>
    <n v="4"/>
  </r>
  <r>
    <s v="P0624"/>
    <n v="84"/>
    <s v="Female"/>
    <s v="Respiratory"/>
    <s v="Pulmonology"/>
    <s v="Dr. Priya"/>
    <d v="2024-10-05T00:00:00"/>
    <d v="2024-10-08T00:00:00"/>
    <n v="21228"/>
    <s v="Corporate"/>
    <x v="2"/>
    <s v="Bangalore"/>
    <s v="Recovered"/>
    <n v="4"/>
  </r>
  <r>
    <s v="P0625"/>
    <n v="45"/>
    <s v="Female"/>
    <s v="Cancer"/>
    <s v="Orthopedics"/>
    <s v="Dr. Arun"/>
    <d v="2025-06-21T00:00:00"/>
    <d v="2025-07-08T00:00:00"/>
    <n v="92603"/>
    <s v="None"/>
    <x v="1"/>
    <s v="Bangalore"/>
    <s v="Under Treatment"/>
    <n v="1"/>
  </r>
  <r>
    <s v="P0626"/>
    <n v="74"/>
    <s v="Female"/>
    <s v="Orthopedic"/>
    <s v="Cardiology"/>
    <s v="Dr. Meena"/>
    <d v="2024-06-18T00:00:00"/>
    <d v="2024-06-20T00:00:00"/>
    <n v="123018"/>
    <s v="Government"/>
    <x v="1"/>
    <s v="Madurai"/>
    <s v="Follow-up"/>
    <n v="2"/>
  </r>
  <r>
    <s v="P0627"/>
    <n v="42"/>
    <s v="Male"/>
    <s v="Neurological"/>
    <s v="Neurology"/>
    <s v="Dr. Kumar"/>
    <d v="2025-09-19T00:00:00"/>
    <d v="2025-09-23T00:00:00"/>
    <n v="54161"/>
    <s v="None"/>
    <x v="2"/>
    <s v="Bangalore"/>
    <s v="Under Treatment"/>
    <n v="1"/>
  </r>
  <r>
    <s v="P0628"/>
    <n v="42"/>
    <s v="Male"/>
    <s v="Infection"/>
    <s v="General Medicine"/>
    <s v="Dr. Arun"/>
    <d v="2025-05-05T00:00:00"/>
    <d v="2025-05-15T00:00:00"/>
    <n v="21072"/>
    <s v="Government"/>
    <x v="1"/>
    <s v="Bangalore"/>
    <s v="Under Treatment"/>
    <n v="5"/>
  </r>
  <r>
    <s v="P0629"/>
    <n v="51"/>
    <s v="Female"/>
    <s v="Cancer"/>
    <s v="Cardiology"/>
    <s v="Dr. Kumar"/>
    <d v="2025-03-08T00:00:00"/>
    <d v="2025-03-15T00:00:00"/>
    <n v="132429"/>
    <s v="Corporate"/>
    <x v="3"/>
    <s v="Madurai"/>
    <s v="Under Treatment"/>
    <n v="2"/>
  </r>
  <r>
    <s v="P0630"/>
    <n v="78"/>
    <s v="Male"/>
    <s v="Cardiac"/>
    <s v="Cardiology"/>
    <s v="Dr. Priya"/>
    <d v="2025-07-04T00:00:00"/>
    <d v="2025-07-17T00:00:00"/>
    <n v="106642"/>
    <s v="Private"/>
    <x v="0"/>
    <s v="Chennai"/>
    <s v="Recovered"/>
    <n v="4"/>
  </r>
  <r>
    <s v="P0631"/>
    <n v="36"/>
    <s v="Female"/>
    <s v="Orthopedic"/>
    <s v="Oncology"/>
    <s v="Dr. Kumar"/>
    <d v="2024-08-02T00:00:00"/>
    <d v="2024-08-05T00:00:00"/>
    <n v="141223"/>
    <s v="None"/>
    <x v="1"/>
    <s v="Coimbatore"/>
    <s v="Recovered"/>
    <n v="5"/>
  </r>
  <r>
    <s v="P0632"/>
    <n v="82"/>
    <s v="Male"/>
    <s v="Cancer"/>
    <s v="Orthopedics"/>
    <s v="Dr. Raj"/>
    <d v="2025-01-13T00:00:00"/>
    <d v="2025-01-21T00:00:00"/>
    <n v="16518"/>
    <s v="None"/>
    <x v="0"/>
    <s v="Coimbatore"/>
    <s v="Under Treatment"/>
    <n v="2"/>
  </r>
  <r>
    <s v="P0633"/>
    <n v="30"/>
    <s v="Male"/>
    <s v="Orthopedic"/>
    <s v="Cardiology"/>
    <s v="Dr. Meena"/>
    <d v="2025-11-02T00:00:00"/>
    <d v="2025-11-12T00:00:00"/>
    <n v="105529"/>
    <s v="Private"/>
    <x v="2"/>
    <s v="Madurai"/>
    <s v="Recovered"/>
    <n v="3"/>
  </r>
  <r>
    <s v="P0634"/>
    <n v="60"/>
    <s v="Female"/>
    <s v="Cardiac"/>
    <s v="Neurology"/>
    <s v="Dr. Priya"/>
    <d v="2024-12-16T00:00:00"/>
    <d v="2024-12-22T00:00:00"/>
    <n v="138227"/>
    <s v="None"/>
    <x v="0"/>
    <s v="Hyderabad"/>
    <s v="Recovered"/>
    <n v="4"/>
  </r>
  <r>
    <s v="P0635"/>
    <n v="62"/>
    <s v="Female"/>
    <s v="Cardiac"/>
    <s v="Oncology"/>
    <s v="Dr. Priya"/>
    <d v="2025-10-01T00:00:00"/>
    <d v="2025-10-14T00:00:00"/>
    <n v="149310"/>
    <s v="Government"/>
    <x v="0"/>
    <s v="Madurai"/>
    <s v="Follow-up"/>
    <n v="3"/>
  </r>
  <r>
    <s v="P0636"/>
    <n v="23"/>
    <s v="Female"/>
    <s v="Respiratory"/>
    <s v="Neurology"/>
    <s v="Dr. Arun"/>
    <d v="2025-05-15T00:00:00"/>
    <d v="2025-05-22T00:00:00"/>
    <n v="118718"/>
    <s v="None"/>
    <x v="0"/>
    <s v="Bangalore"/>
    <s v="Under Treatment"/>
    <n v="4"/>
  </r>
  <r>
    <s v="P0637"/>
    <n v="26"/>
    <s v="Male"/>
    <s v="Cardiac"/>
    <s v="General Medicine"/>
    <s v="Dr. Arun"/>
    <d v="2024-01-29T00:00:00"/>
    <d v="2024-01-31T00:00:00"/>
    <n v="144283"/>
    <s v="Corporate"/>
    <x v="3"/>
    <s v="Hyderabad"/>
    <s v="Under Treatment"/>
    <n v="3"/>
  </r>
  <r>
    <s v="P0638"/>
    <n v="32"/>
    <s v="Female"/>
    <s v="Orthopedic"/>
    <s v="Cardiology"/>
    <s v="Dr. Arun"/>
    <d v="2024-08-27T00:00:00"/>
    <d v="2024-09-03T00:00:00"/>
    <n v="138757"/>
    <s v="Government"/>
    <x v="2"/>
    <s v="Hyderabad"/>
    <s v="Recovered"/>
    <n v="3"/>
  </r>
  <r>
    <s v="P0639"/>
    <n v="48"/>
    <s v="Male"/>
    <s v="Diabetes"/>
    <s v="Pulmonology"/>
    <s v="Dr. Priya"/>
    <d v="2025-02-25T00:00:00"/>
    <d v="2025-03-06T00:00:00"/>
    <n v="118350"/>
    <s v="Government"/>
    <x v="1"/>
    <s v="Coimbatore"/>
    <s v="Under Treatment"/>
    <n v="5"/>
  </r>
  <r>
    <s v="P0640"/>
    <n v="85"/>
    <s v="Male"/>
    <s v="Diabetes"/>
    <s v="General Medicine"/>
    <s v="Dr. Arun"/>
    <d v="2025-02-27T00:00:00"/>
    <d v="2025-03-06T00:00:00"/>
    <n v="41263"/>
    <s v="None"/>
    <x v="3"/>
    <s v="Chennai"/>
    <s v="Under Treatment"/>
    <n v="1"/>
  </r>
  <r>
    <s v="P0641"/>
    <n v="52"/>
    <s v="Male"/>
    <s v="Cancer"/>
    <s v="Cardiology"/>
    <s v="Dr. Meena"/>
    <d v="2024-09-13T00:00:00"/>
    <d v="2024-09-15T00:00:00"/>
    <n v="163041"/>
    <s v="None"/>
    <x v="2"/>
    <s v="Coimbatore"/>
    <s v="Recovered"/>
    <n v="1"/>
  </r>
  <r>
    <s v="P0642"/>
    <n v="80"/>
    <s v="Female"/>
    <s v="Cardiac"/>
    <s v="Cardiology"/>
    <s v="Dr. Raj"/>
    <d v="2024-03-30T00:00:00"/>
    <d v="2024-03-31T00:00:00"/>
    <n v="16515"/>
    <s v="Government"/>
    <x v="0"/>
    <s v="Bangalore"/>
    <s v="Recovered"/>
    <n v="5"/>
  </r>
  <r>
    <s v="P0643"/>
    <n v="56"/>
    <s v="Male"/>
    <s v="Cardiac"/>
    <s v="Oncology"/>
    <s v="Dr. Raj"/>
    <d v="2024-07-17T00:00:00"/>
    <d v="2024-07-24T00:00:00"/>
    <n v="10364"/>
    <s v="Corporate"/>
    <x v="3"/>
    <s v="Coimbatore"/>
    <s v="Under Treatment"/>
    <n v="5"/>
  </r>
  <r>
    <s v="P0644"/>
    <n v="46"/>
    <s v="Male"/>
    <s v="Infection"/>
    <s v="Orthopedics"/>
    <s v="Dr. Kumar"/>
    <d v="2024-05-03T00:00:00"/>
    <d v="2024-05-21T00:00:00"/>
    <n v="143451"/>
    <s v="Private"/>
    <x v="3"/>
    <s v="Coimbatore"/>
    <s v="Recovered"/>
    <n v="4"/>
  </r>
  <r>
    <s v="P0645"/>
    <n v="56"/>
    <s v="Female"/>
    <s v="Infection"/>
    <s v="Pulmonology"/>
    <s v="Dr. Arun"/>
    <d v="2024-05-02T00:00:00"/>
    <d v="2024-05-15T00:00:00"/>
    <n v="61259"/>
    <s v="None"/>
    <x v="0"/>
    <s v="Coimbatore"/>
    <s v="Recovered"/>
    <n v="4"/>
  </r>
  <r>
    <s v="P0646"/>
    <n v="65"/>
    <s v="Female"/>
    <s v="Diabetes"/>
    <s v="Cardiology"/>
    <s v="Dr. Meena"/>
    <d v="2024-10-20T00:00:00"/>
    <d v="2024-10-22T00:00:00"/>
    <n v="70794"/>
    <s v="None"/>
    <x v="1"/>
    <s v="Bangalore"/>
    <s v="Follow-up"/>
    <n v="1"/>
  </r>
  <r>
    <s v="P0647"/>
    <n v="77"/>
    <s v="Female"/>
    <s v="Respiratory"/>
    <s v="Oncology"/>
    <s v="Dr. Kumar"/>
    <d v="2024-10-13T00:00:00"/>
    <d v="2024-10-20T00:00:00"/>
    <n v="127527"/>
    <s v="Government"/>
    <x v="3"/>
    <s v="Bangalore"/>
    <s v="Recovered"/>
    <n v="1"/>
  </r>
  <r>
    <s v="P0648"/>
    <n v="63"/>
    <s v="Male"/>
    <s v="Orthopedic"/>
    <s v="Orthopedics"/>
    <s v="Dr. Meena"/>
    <d v="2024-07-16T00:00:00"/>
    <d v="2024-07-18T00:00:00"/>
    <n v="241408"/>
    <s v="Government"/>
    <x v="2"/>
    <s v="Hyderabad"/>
    <s v="Recovered"/>
    <n v="5"/>
  </r>
  <r>
    <s v="P0649"/>
    <n v="72"/>
    <s v="Female"/>
    <s v="Diabetes"/>
    <s v="Oncology"/>
    <s v="Dr. Kumar"/>
    <d v="2024-02-05T00:00:00"/>
    <d v="2024-02-18T00:00:00"/>
    <n v="26109"/>
    <s v="Corporate"/>
    <x v="0"/>
    <s v="Hyderabad"/>
    <s v="Recovered"/>
    <n v="5"/>
  </r>
  <r>
    <s v="P0650"/>
    <n v="57"/>
    <s v="Female"/>
    <s v="Respiratory"/>
    <s v="Cardiology"/>
    <s v="Dr. Raj"/>
    <d v="2024-01-20T00:00:00"/>
    <d v="2024-01-27T00:00:00"/>
    <n v="110051"/>
    <s v="None"/>
    <x v="2"/>
    <s v="Madurai"/>
    <s v="Under Treatment"/>
    <n v="3"/>
  </r>
  <r>
    <s v="P0651"/>
    <n v="42"/>
    <s v="Female"/>
    <s v="Diabetes"/>
    <s v="Pulmonology"/>
    <s v="Dr. Priya"/>
    <d v="2025-11-09T00:00:00"/>
    <d v="2025-11-25T00:00:00"/>
    <n v="83137"/>
    <s v="Private"/>
    <x v="0"/>
    <s v="Madurai"/>
    <s v="Follow-up"/>
    <n v="5"/>
  </r>
  <r>
    <s v="P0652"/>
    <n v="61"/>
    <s v="Female"/>
    <s v="Orthopedic"/>
    <s v="Oncology"/>
    <s v="Dr. Priya"/>
    <d v="2024-01-01T00:00:00"/>
    <d v="2024-01-12T00:00:00"/>
    <n v="118570"/>
    <s v="None"/>
    <x v="1"/>
    <s v="Chennai"/>
    <s v="Recovered"/>
    <n v="4"/>
  </r>
  <r>
    <s v="P0653"/>
    <n v="74"/>
    <s v="Female"/>
    <s v="Cancer"/>
    <s v="Cardiology"/>
    <s v="Dr. Kumar"/>
    <d v="2025-01-26T00:00:00"/>
    <d v="2025-01-29T00:00:00"/>
    <n v="21486"/>
    <s v="None"/>
    <x v="3"/>
    <s v="Bangalore"/>
    <s v="Recovered"/>
    <n v="1"/>
  </r>
  <r>
    <s v="P0654"/>
    <n v="28"/>
    <s v="Female"/>
    <s v="Infection"/>
    <s v="Cardiology"/>
    <s v="Dr. Raj"/>
    <d v="2025-04-24T00:00:00"/>
    <d v="2025-05-11T00:00:00"/>
    <n v="60842"/>
    <s v="Private"/>
    <x v="0"/>
    <s v="Chennai"/>
    <s v="Recovered"/>
    <n v="5"/>
  </r>
  <r>
    <s v="P0655"/>
    <n v="75"/>
    <s v="Male"/>
    <s v="Infection"/>
    <s v="Pulmonology"/>
    <s v="Dr. Arun"/>
    <d v="2024-06-07T00:00:00"/>
    <d v="2024-06-22T00:00:00"/>
    <n v="22910"/>
    <s v="Corporate"/>
    <x v="2"/>
    <s v="Hyderabad"/>
    <s v="Follow-up"/>
    <n v="1"/>
  </r>
  <r>
    <s v="P0656"/>
    <n v="50"/>
    <s v="Female"/>
    <s v="Cancer"/>
    <s v="Neurology"/>
    <s v="Dr. Arun"/>
    <d v="2025-09-11T00:00:00"/>
    <d v="2025-09-27T00:00:00"/>
    <n v="60286"/>
    <s v="Corporate"/>
    <x v="2"/>
    <s v="Chennai"/>
    <s v="Follow-up"/>
    <n v="1"/>
  </r>
  <r>
    <s v="P0657"/>
    <n v="76"/>
    <s v="Female"/>
    <s v="Cardiac"/>
    <s v="Cardiology"/>
    <s v="Dr. Kumar"/>
    <d v="2025-05-08T00:00:00"/>
    <d v="2025-05-19T00:00:00"/>
    <n v="90924"/>
    <s v="None"/>
    <x v="3"/>
    <s v="Hyderabad"/>
    <s v="Follow-up"/>
    <n v="5"/>
  </r>
  <r>
    <s v="P0658"/>
    <n v="29"/>
    <s v="Male"/>
    <s v="Infection"/>
    <s v="General Medicine"/>
    <s v="Dr. Raj"/>
    <d v="2025-12-07T00:00:00"/>
    <d v="2025-12-24T00:00:00"/>
    <n v="24820"/>
    <s v="Government"/>
    <x v="1"/>
    <s v="Bangalore"/>
    <s v="Recovered"/>
    <n v="2"/>
  </r>
  <r>
    <s v="P0659"/>
    <n v="77"/>
    <s v="Female"/>
    <s v="Neurological"/>
    <s v="Oncology"/>
    <s v="Dr. Priya"/>
    <d v="2025-05-18T00:00:00"/>
    <d v="2025-06-02T00:00:00"/>
    <n v="6671"/>
    <s v="Corporate"/>
    <x v="0"/>
    <s v="Chennai"/>
    <s v="Under Treatment"/>
    <n v="2"/>
  </r>
  <r>
    <s v="P0660"/>
    <n v="72"/>
    <s v="Female"/>
    <s v="Neurological"/>
    <s v="Pulmonology"/>
    <s v="Dr. Priya"/>
    <d v="2024-12-01T00:00:00"/>
    <d v="2024-12-13T00:00:00"/>
    <n v="71616"/>
    <s v="None"/>
    <x v="3"/>
    <s v="Madurai"/>
    <s v="Follow-up"/>
    <n v="2"/>
  </r>
  <r>
    <s v="P0661"/>
    <n v="53"/>
    <s v="Male"/>
    <s v="Cancer"/>
    <s v="Oncology"/>
    <s v="Dr. Raj"/>
    <d v="2024-06-13T00:00:00"/>
    <d v="2024-06-16T00:00:00"/>
    <n v="245692"/>
    <s v="Private"/>
    <x v="3"/>
    <s v="Hyderabad"/>
    <s v="Under Treatment"/>
    <n v="3"/>
  </r>
  <r>
    <s v="P0662"/>
    <n v="61"/>
    <s v="Female"/>
    <s v="Cancer"/>
    <s v="Cardiology"/>
    <s v="Dr. Kumar"/>
    <d v="2024-04-01T00:00:00"/>
    <d v="2024-04-07T00:00:00"/>
    <n v="200814"/>
    <s v="Corporate"/>
    <x v="0"/>
    <s v="Madurai"/>
    <s v="Follow-up"/>
    <n v="4"/>
  </r>
  <r>
    <s v="P0663"/>
    <n v="24"/>
    <s v="Male"/>
    <s v="Cardiac"/>
    <s v="General Medicine"/>
    <s v="Dr. Meena"/>
    <d v="2025-09-28T00:00:00"/>
    <d v="2025-10-03T00:00:00"/>
    <n v="233216"/>
    <s v="Government"/>
    <x v="2"/>
    <s v="Coimbatore"/>
    <s v="Recovered"/>
    <n v="2"/>
  </r>
  <r>
    <s v="P0664"/>
    <n v="49"/>
    <s v="Male"/>
    <s v="Neurological"/>
    <s v="Oncology"/>
    <s v="Dr. Meena"/>
    <d v="2025-02-04T00:00:00"/>
    <d v="2025-02-08T00:00:00"/>
    <n v="105420"/>
    <s v="Private"/>
    <x v="1"/>
    <s v="Madurai"/>
    <s v="Under Treatment"/>
    <n v="3"/>
  </r>
  <r>
    <s v="P0665"/>
    <n v="79"/>
    <s v="Male"/>
    <s v="Infection"/>
    <s v="General Medicine"/>
    <s v="Dr. Arun"/>
    <d v="2024-05-04T00:00:00"/>
    <d v="2024-05-06T00:00:00"/>
    <n v="159748"/>
    <s v="Private"/>
    <x v="3"/>
    <s v="Chennai"/>
    <s v="Follow-up"/>
    <n v="2"/>
  </r>
  <r>
    <s v="P0666"/>
    <n v="36"/>
    <s v="Female"/>
    <s v="Diabetes"/>
    <s v="Cardiology"/>
    <s v="Dr. Raj"/>
    <d v="2025-07-27T00:00:00"/>
    <d v="2025-07-28T00:00:00"/>
    <n v="139608"/>
    <s v="Private"/>
    <x v="0"/>
    <s v="Hyderabad"/>
    <s v="Follow-up"/>
    <n v="5"/>
  </r>
  <r>
    <s v="P0667"/>
    <n v="76"/>
    <s v="Male"/>
    <s v="Infection"/>
    <s v="Oncology"/>
    <s v="Dr. Kumar"/>
    <d v="2024-12-07T00:00:00"/>
    <d v="2024-12-08T00:00:00"/>
    <n v="170849"/>
    <s v="Private"/>
    <x v="3"/>
    <s v="Chennai"/>
    <s v="Recovered"/>
    <n v="3"/>
  </r>
  <r>
    <s v="P0668"/>
    <n v="55"/>
    <s v="Female"/>
    <s v="Neurological"/>
    <s v="Pulmonology"/>
    <s v="Dr. Kumar"/>
    <d v="2024-02-15T00:00:00"/>
    <d v="2024-03-01T00:00:00"/>
    <n v="34105"/>
    <s v="Government"/>
    <x v="3"/>
    <s v="Madurai"/>
    <s v="Under Treatment"/>
    <n v="1"/>
  </r>
  <r>
    <s v="P0669"/>
    <n v="58"/>
    <s v="Female"/>
    <s v="Infection"/>
    <s v="Oncology"/>
    <s v="Dr. Kumar"/>
    <d v="2024-08-20T00:00:00"/>
    <d v="2024-09-05T00:00:00"/>
    <n v="52795"/>
    <s v="Corporate"/>
    <x v="2"/>
    <s v="Coimbatore"/>
    <s v="Follow-up"/>
    <n v="4"/>
  </r>
  <r>
    <s v="P0670"/>
    <n v="45"/>
    <s v="Female"/>
    <s v="Respiratory"/>
    <s v="Neurology"/>
    <s v="Dr. Priya"/>
    <d v="2024-04-23T00:00:00"/>
    <d v="2024-04-28T00:00:00"/>
    <n v="70631"/>
    <s v="None"/>
    <x v="3"/>
    <s v="Bangalore"/>
    <s v="Follow-up"/>
    <n v="4"/>
  </r>
  <r>
    <s v="P0671"/>
    <n v="78"/>
    <s v="Male"/>
    <s v="Neurological"/>
    <s v="Oncology"/>
    <s v="Dr. Meena"/>
    <d v="2025-06-17T00:00:00"/>
    <d v="2025-06-23T00:00:00"/>
    <n v="154087"/>
    <s v="Government"/>
    <x v="0"/>
    <s v="Bangalore"/>
    <s v="Under Treatment"/>
    <n v="5"/>
  </r>
  <r>
    <s v="P0672"/>
    <n v="73"/>
    <s v="Female"/>
    <s v="Infection"/>
    <s v="Neurology"/>
    <s v="Dr. Arun"/>
    <d v="2025-01-16T00:00:00"/>
    <d v="2025-01-23T00:00:00"/>
    <n v="10309"/>
    <s v="Private"/>
    <x v="3"/>
    <s v="Coimbatore"/>
    <s v="Under Treatment"/>
    <n v="3"/>
  </r>
  <r>
    <s v="P0673"/>
    <n v="55"/>
    <s v="Male"/>
    <s v="Cardiac"/>
    <s v="General Medicine"/>
    <s v="Dr. Kumar"/>
    <d v="2024-02-18T00:00:00"/>
    <d v="2024-03-06T00:00:00"/>
    <n v="126061"/>
    <s v="Private"/>
    <x v="2"/>
    <s v="Chennai"/>
    <s v="Under Treatment"/>
    <n v="3"/>
  </r>
  <r>
    <s v="P0674"/>
    <n v="34"/>
    <s v="Female"/>
    <s v="Diabetes"/>
    <s v="Pulmonology"/>
    <s v="Dr. Priya"/>
    <d v="2024-04-12T00:00:00"/>
    <d v="2024-04-28T00:00:00"/>
    <n v="52056"/>
    <s v="Corporate"/>
    <x v="0"/>
    <s v="Coimbatore"/>
    <s v="Recovered"/>
    <n v="3"/>
  </r>
  <r>
    <s v="P0675"/>
    <n v="67"/>
    <s v="Female"/>
    <s v="Cancer"/>
    <s v="General Medicine"/>
    <s v="Dr. Meena"/>
    <d v="2025-01-29T00:00:00"/>
    <d v="2025-02-01T00:00:00"/>
    <n v="103180"/>
    <s v="Corporate"/>
    <x v="3"/>
    <s v="Coimbatore"/>
    <s v="Follow-up"/>
    <n v="5"/>
  </r>
  <r>
    <s v="P0676"/>
    <n v="54"/>
    <s v="Male"/>
    <s v="Orthopedic"/>
    <s v="Neurology"/>
    <s v="Dr. Meena"/>
    <d v="2024-06-14T00:00:00"/>
    <d v="2024-06-30T00:00:00"/>
    <n v="89837"/>
    <s v="Government"/>
    <x v="0"/>
    <s v="Chennai"/>
    <s v="Follow-up"/>
    <n v="1"/>
  </r>
  <r>
    <s v="P0677"/>
    <n v="60"/>
    <s v="Female"/>
    <s v="Diabetes"/>
    <s v="General Medicine"/>
    <s v="Dr. Meena"/>
    <d v="2024-10-29T00:00:00"/>
    <d v="2024-11-07T00:00:00"/>
    <n v="40591"/>
    <s v="Corporate"/>
    <x v="3"/>
    <s v="Chennai"/>
    <s v="Recovered"/>
    <n v="4"/>
  </r>
  <r>
    <s v="P0678"/>
    <n v="32"/>
    <s v="Female"/>
    <s v="Neurological"/>
    <s v="General Medicine"/>
    <s v="Dr. Meena"/>
    <d v="2024-05-13T00:00:00"/>
    <d v="2024-05-15T00:00:00"/>
    <n v="50782"/>
    <s v="Government"/>
    <x v="3"/>
    <s v="Bangalore"/>
    <s v="Recovered"/>
    <n v="5"/>
  </r>
  <r>
    <s v="P0679"/>
    <n v="25"/>
    <s v="Male"/>
    <s v="Cardiac"/>
    <s v="Neurology"/>
    <s v="Dr. Kumar"/>
    <d v="2024-02-25T00:00:00"/>
    <d v="2024-03-11T00:00:00"/>
    <n v="137973"/>
    <s v="Private"/>
    <x v="3"/>
    <s v="Chennai"/>
    <s v="Under Treatment"/>
    <n v="4"/>
  </r>
  <r>
    <s v="P0680"/>
    <n v="61"/>
    <s v="Male"/>
    <s v="Neurological"/>
    <s v="Oncology"/>
    <s v="Dr. Raj"/>
    <d v="2024-08-03T00:00:00"/>
    <d v="2024-08-10T00:00:00"/>
    <n v="192062"/>
    <s v="Government"/>
    <x v="2"/>
    <s v="Bangalore"/>
    <s v="Follow-up"/>
    <n v="4"/>
  </r>
  <r>
    <s v="P0681"/>
    <n v="44"/>
    <s v="Female"/>
    <s v="Respiratory"/>
    <s v="General Medicine"/>
    <s v="Dr. Kumar"/>
    <d v="2024-05-20T00:00:00"/>
    <d v="2024-06-07T00:00:00"/>
    <n v="53161"/>
    <s v="None"/>
    <x v="3"/>
    <s v="Madurai"/>
    <s v="Recovered"/>
    <n v="3"/>
  </r>
  <r>
    <s v="P0682"/>
    <n v="83"/>
    <s v="Male"/>
    <s v="Neurological"/>
    <s v="Orthopedics"/>
    <s v="Dr. Arun"/>
    <d v="2025-12-10T00:00:00"/>
    <d v="2025-12-26T00:00:00"/>
    <n v="208628"/>
    <s v="Government"/>
    <x v="1"/>
    <s v="Hyderabad"/>
    <s v="Recovered"/>
    <n v="3"/>
  </r>
  <r>
    <s v="P0683"/>
    <n v="82"/>
    <s v="Female"/>
    <s v="Respiratory"/>
    <s v="General Medicine"/>
    <s v="Dr. Meena"/>
    <d v="2024-06-04T00:00:00"/>
    <d v="2024-06-22T00:00:00"/>
    <n v="192599"/>
    <s v="Government"/>
    <x v="2"/>
    <s v="Madurai"/>
    <s v="Under Treatment"/>
    <n v="3"/>
  </r>
  <r>
    <s v="P0684"/>
    <n v="52"/>
    <s v="Female"/>
    <s v="Neurological"/>
    <s v="General Medicine"/>
    <s v="Dr. Priya"/>
    <d v="2025-12-05T00:00:00"/>
    <d v="2025-12-23T00:00:00"/>
    <n v="43912"/>
    <s v="None"/>
    <x v="3"/>
    <s v="Hyderabad"/>
    <s v="Recovered"/>
    <n v="1"/>
  </r>
  <r>
    <s v="P0685"/>
    <n v="45"/>
    <s v="Male"/>
    <s v="Respiratory"/>
    <s v="General Medicine"/>
    <s v="Dr. Raj"/>
    <d v="2025-05-20T00:00:00"/>
    <d v="2025-06-01T00:00:00"/>
    <n v="64529"/>
    <s v="None"/>
    <x v="2"/>
    <s v="Madurai"/>
    <s v="Recovered"/>
    <n v="1"/>
  </r>
  <r>
    <s v="P0686"/>
    <n v="27"/>
    <s v="Female"/>
    <s v="Respiratory"/>
    <s v="Orthopedics"/>
    <s v="Dr. Kumar"/>
    <d v="2025-05-28T00:00:00"/>
    <d v="2025-05-30T00:00:00"/>
    <n v="229970"/>
    <s v="None"/>
    <x v="1"/>
    <s v="Coimbatore"/>
    <s v="Under Treatment"/>
    <n v="2"/>
  </r>
  <r>
    <s v="P0687"/>
    <n v="43"/>
    <s v="Male"/>
    <s v="Cancer"/>
    <s v="Oncology"/>
    <s v="Dr. Priya"/>
    <d v="2024-03-05T00:00:00"/>
    <d v="2024-03-06T00:00:00"/>
    <n v="185761"/>
    <s v="None"/>
    <x v="1"/>
    <s v="Coimbatore"/>
    <s v="Follow-up"/>
    <n v="1"/>
  </r>
  <r>
    <s v="P0688"/>
    <n v="55"/>
    <s v="Male"/>
    <s v="Orthopedic"/>
    <s v="Orthopedics"/>
    <s v="Dr. Kumar"/>
    <d v="2024-10-10T00:00:00"/>
    <d v="2024-10-24T00:00:00"/>
    <n v="58849"/>
    <s v="None"/>
    <x v="0"/>
    <s v="Hyderabad"/>
    <s v="Follow-up"/>
    <n v="3"/>
  </r>
  <r>
    <s v="P0689"/>
    <n v="50"/>
    <s v="Male"/>
    <s v="Orthopedic"/>
    <s v="Orthopedics"/>
    <s v="Dr. Raj"/>
    <d v="2024-02-05T00:00:00"/>
    <d v="2024-02-24T00:00:00"/>
    <n v="229349"/>
    <s v="None"/>
    <x v="2"/>
    <s v="Hyderabad"/>
    <s v="Follow-up"/>
    <n v="5"/>
  </r>
  <r>
    <s v="P0690"/>
    <n v="32"/>
    <s v="Male"/>
    <s v="Infection"/>
    <s v="Neurology"/>
    <s v="Dr. Arun"/>
    <d v="2024-07-12T00:00:00"/>
    <d v="2024-07-14T00:00:00"/>
    <n v="77636"/>
    <s v="Corporate"/>
    <x v="2"/>
    <s v="Hyderabad"/>
    <s v="Recovered"/>
    <n v="3"/>
  </r>
  <r>
    <s v="P0691"/>
    <n v="50"/>
    <s v="Male"/>
    <s v="Neurological"/>
    <s v="Orthopedics"/>
    <s v="Dr. Meena"/>
    <d v="2024-03-05T00:00:00"/>
    <d v="2024-03-16T00:00:00"/>
    <n v="249910"/>
    <s v="Government"/>
    <x v="2"/>
    <s v="Madurai"/>
    <s v="Under Treatment"/>
    <n v="3"/>
  </r>
  <r>
    <s v="P0692"/>
    <n v="49"/>
    <s v="Female"/>
    <s v="Diabetes"/>
    <s v="Neurology"/>
    <s v="Dr. Kumar"/>
    <d v="2025-06-19T00:00:00"/>
    <d v="2025-07-07T00:00:00"/>
    <n v="76225"/>
    <s v="Private"/>
    <x v="0"/>
    <s v="Coimbatore"/>
    <s v="Under Treatment"/>
    <n v="1"/>
  </r>
  <r>
    <s v="P0693"/>
    <n v="30"/>
    <s v="Male"/>
    <s v="Neurological"/>
    <s v="Cardiology"/>
    <s v="Dr. Meena"/>
    <d v="2025-01-08T00:00:00"/>
    <d v="2025-01-22T00:00:00"/>
    <n v="111288"/>
    <s v="Private"/>
    <x v="2"/>
    <s v="Coimbatore"/>
    <s v="Follow-up"/>
    <n v="4"/>
  </r>
  <r>
    <s v="P0694"/>
    <n v="76"/>
    <s v="Female"/>
    <s v="Neurological"/>
    <s v="Pulmonology"/>
    <s v="Dr. Arun"/>
    <d v="2025-02-24T00:00:00"/>
    <d v="2025-02-26T00:00:00"/>
    <n v="120883"/>
    <s v="Government"/>
    <x v="2"/>
    <s v="Hyderabad"/>
    <s v="Under Treatment"/>
    <n v="3"/>
  </r>
  <r>
    <s v="P0695"/>
    <n v="61"/>
    <s v="Female"/>
    <s v="Cancer"/>
    <s v="Orthopedics"/>
    <s v="Dr. Arun"/>
    <d v="2025-02-22T00:00:00"/>
    <d v="2025-03-14T00:00:00"/>
    <n v="229973"/>
    <s v="Corporate"/>
    <x v="0"/>
    <s v="Coimbatore"/>
    <s v="Follow-up"/>
    <n v="4"/>
  </r>
  <r>
    <s v="P0696"/>
    <n v="53"/>
    <s v="Male"/>
    <s v="Respiratory"/>
    <s v="Neurology"/>
    <s v="Dr. Arun"/>
    <d v="2024-01-19T00:00:00"/>
    <d v="2024-02-05T00:00:00"/>
    <n v="196757"/>
    <s v="None"/>
    <x v="1"/>
    <s v="Hyderabad"/>
    <s v="Follow-up"/>
    <n v="3"/>
  </r>
  <r>
    <s v="P0697"/>
    <n v="76"/>
    <s v="Male"/>
    <s v="Infection"/>
    <s v="Neurology"/>
    <s v="Dr. Kumar"/>
    <d v="2024-04-06T00:00:00"/>
    <d v="2024-04-26T00:00:00"/>
    <n v="59162"/>
    <s v="Corporate"/>
    <x v="3"/>
    <s v="Coimbatore"/>
    <s v="Follow-up"/>
    <n v="4"/>
  </r>
  <r>
    <s v="P0698"/>
    <n v="35"/>
    <s v="Male"/>
    <s v="Respiratory"/>
    <s v="Oncology"/>
    <s v="Dr. Raj"/>
    <d v="2024-06-27T00:00:00"/>
    <d v="2024-07-08T00:00:00"/>
    <n v="94097"/>
    <s v="Government"/>
    <x v="3"/>
    <s v="Coimbatore"/>
    <s v="Recovered"/>
    <n v="4"/>
  </r>
  <r>
    <s v="P0699"/>
    <n v="85"/>
    <s v="Female"/>
    <s v="Orthopedic"/>
    <s v="General Medicine"/>
    <s v="Dr. Meena"/>
    <d v="2025-10-23T00:00:00"/>
    <d v="2025-11-03T00:00:00"/>
    <n v="29240"/>
    <s v="Government"/>
    <x v="1"/>
    <s v="Coimbatore"/>
    <s v="Recovered"/>
    <n v="2"/>
  </r>
  <r>
    <s v="P0700"/>
    <n v="65"/>
    <s v="Female"/>
    <s v="Respiratory"/>
    <s v="General Medicine"/>
    <s v="Dr. Meena"/>
    <d v="2024-02-19T00:00:00"/>
    <d v="2024-02-22T00:00:00"/>
    <n v="17536"/>
    <s v="Corporate"/>
    <x v="0"/>
    <s v="Coimbatore"/>
    <s v="Under Treatment"/>
    <n v="1"/>
  </r>
  <r>
    <s v="P0701"/>
    <n v="42"/>
    <s v="Female"/>
    <s v="Orthopedic"/>
    <s v="General Medicine"/>
    <s v="Dr. Priya"/>
    <d v="2025-11-06T00:00:00"/>
    <d v="2025-11-26T00:00:00"/>
    <n v="112192"/>
    <s v="Corporate"/>
    <x v="1"/>
    <s v="Madurai"/>
    <s v="Follow-up"/>
    <n v="4"/>
  </r>
  <r>
    <s v="P0702"/>
    <n v="64"/>
    <s v="Female"/>
    <s v="Infection"/>
    <s v="Cardiology"/>
    <s v="Dr. Arun"/>
    <d v="2024-10-22T00:00:00"/>
    <d v="2024-10-30T00:00:00"/>
    <n v="138582"/>
    <s v="Government"/>
    <x v="0"/>
    <s v="Bangalore"/>
    <s v="Under Treatment"/>
    <n v="2"/>
  </r>
  <r>
    <s v="P0703"/>
    <n v="82"/>
    <s v="Female"/>
    <s v="Diabetes"/>
    <s v="Orthopedics"/>
    <s v="Dr. Priya"/>
    <d v="2025-07-27T00:00:00"/>
    <d v="2025-08-09T00:00:00"/>
    <n v="149733"/>
    <s v="Corporate"/>
    <x v="1"/>
    <s v="Madurai"/>
    <s v="Follow-up"/>
    <n v="5"/>
  </r>
  <r>
    <s v="P0704"/>
    <n v="22"/>
    <s v="Female"/>
    <s v="Infection"/>
    <s v="Neurology"/>
    <s v="Dr. Raj"/>
    <d v="2024-11-06T00:00:00"/>
    <d v="2024-11-18T00:00:00"/>
    <n v="248098"/>
    <s v="Corporate"/>
    <x v="2"/>
    <s v="Bangalore"/>
    <s v="Recovered"/>
    <n v="4"/>
  </r>
  <r>
    <s v="P0705"/>
    <n v="26"/>
    <s v="Male"/>
    <s v="Diabetes"/>
    <s v="Pulmonology"/>
    <s v="Dr. Meena"/>
    <d v="2025-07-18T00:00:00"/>
    <d v="2025-07-31T00:00:00"/>
    <n v="243307"/>
    <s v="Corporate"/>
    <x v="3"/>
    <s v="Chennai"/>
    <s v="Recovered"/>
    <n v="1"/>
  </r>
  <r>
    <s v="P0706"/>
    <n v="52"/>
    <s v="Male"/>
    <s v="Cardiac"/>
    <s v="General Medicine"/>
    <s v="Dr. Raj"/>
    <d v="2024-05-27T00:00:00"/>
    <d v="2024-05-28T00:00:00"/>
    <n v="85964"/>
    <s v="None"/>
    <x v="3"/>
    <s v="Bangalore"/>
    <s v="Follow-up"/>
    <n v="4"/>
  </r>
  <r>
    <s v="P0707"/>
    <n v="28"/>
    <s v="Female"/>
    <s v="Cancer"/>
    <s v="Oncology"/>
    <s v="Dr. Arun"/>
    <d v="2025-04-20T00:00:00"/>
    <d v="2025-04-29T00:00:00"/>
    <n v="196593"/>
    <s v="Government"/>
    <x v="2"/>
    <s v="Chennai"/>
    <s v="Follow-up"/>
    <n v="2"/>
  </r>
  <r>
    <s v="P0708"/>
    <n v="42"/>
    <s v="Male"/>
    <s v="Infection"/>
    <s v="Neurology"/>
    <s v="Dr. Kumar"/>
    <d v="2024-02-18T00:00:00"/>
    <d v="2024-03-05T00:00:00"/>
    <n v="110025"/>
    <s v="Corporate"/>
    <x v="1"/>
    <s v="Bangalore"/>
    <s v="Follow-up"/>
    <n v="5"/>
  </r>
  <r>
    <s v="P0709"/>
    <n v="53"/>
    <s v="Male"/>
    <s v="Diabetes"/>
    <s v="Neurology"/>
    <s v="Dr. Meena"/>
    <d v="2024-11-04T00:00:00"/>
    <d v="2024-11-17T00:00:00"/>
    <n v="126324"/>
    <s v="None"/>
    <x v="3"/>
    <s v="Madurai"/>
    <s v="Recovered"/>
    <n v="4"/>
  </r>
  <r>
    <s v="P0710"/>
    <n v="33"/>
    <s v="Female"/>
    <s v="Orthopedic"/>
    <s v="Cardiology"/>
    <s v="Dr. Meena"/>
    <d v="2024-02-15T00:00:00"/>
    <d v="2024-02-29T00:00:00"/>
    <n v="233387"/>
    <s v="None"/>
    <x v="0"/>
    <s v="Madurai"/>
    <s v="Follow-up"/>
    <n v="2"/>
  </r>
  <r>
    <s v="P0711"/>
    <n v="19"/>
    <s v="Female"/>
    <s v="Respiratory"/>
    <s v="Oncology"/>
    <s v="Dr. Arun"/>
    <d v="2025-11-24T00:00:00"/>
    <d v="2025-11-26T00:00:00"/>
    <n v="164325"/>
    <s v="None"/>
    <x v="0"/>
    <s v="Hyderabad"/>
    <s v="Under Treatment"/>
    <n v="1"/>
  </r>
  <r>
    <s v="P0712"/>
    <n v="25"/>
    <s v="Male"/>
    <s v="Cardiac"/>
    <s v="Neurology"/>
    <s v="Dr. Raj"/>
    <d v="2025-09-16T00:00:00"/>
    <d v="2025-09-26T00:00:00"/>
    <n v="14146"/>
    <s v="Government"/>
    <x v="0"/>
    <s v="Chennai"/>
    <s v="Recovered"/>
    <n v="1"/>
  </r>
  <r>
    <s v="P0713"/>
    <n v="56"/>
    <s v="Female"/>
    <s v="Neurological"/>
    <s v="General Medicine"/>
    <s v="Dr. Raj"/>
    <d v="2024-05-08T00:00:00"/>
    <d v="2024-05-11T00:00:00"/>
    <n v="188013"/>
    <s v="None"/>
    <x v="3"/>
    <s v="Bangalore"/>
    <s v="Follow-up"/>
    <n v="3"/>
  </r>
  <r>
    <s v="P0714"/>
    <n v="27"/>
    <s v="Female"/>
    <s v="Neurological"/>
    <s v="Oncology"/>
    <s v="Dr. Arun"/>
    <d v="2025-07-27T00:00:00"/>
    <d v="2025-07-29T00:00:00"/>
    <n v="59538"/>
    <s v="Private"/>
    <x v="0"/>
    <s v="Hyderabad"/>
    <s v="Under Treatment"/>
    <n v="1"/>
  </r>
  <r>
    <s v="P0715"/>
    <n v="73"/>
    <s v="Female"/>
    <s v="Respiratory"/>
    <s v="Oncology"/>
    <s v="Dr. Kumar"/>
    <d v="2025-02-23T00:00:00"/>
    <d v="2025-03-14T00:00:00"/>
    <n v="157984"/>
    <s v="None"/>
    <x v="2"/>
    <s v="Coimbatore"/>
    <s v="Recovered"/>
    <n v="5"/>
  </r>
  <r>
    <s v="P0716"/>
    <n v="38"/>
    <s v="Male"/>
    <s v="Neurological"/>
    <s v="Orthopedics"/>
    <s v="Dr. Meena"/>
    <d v="2024-11-28T00:00:00"/>
    <d v="2024-12-13T00:00:00"/>
    <n v="162502"/>
    <s v="Private"/>
    <x v="3"/>
    <s v="Bangalore"/>
    <s v="Follow-up"/>
    <n v="1"/>
  </r>
  <r>
    <s v="P0717"/>
    <n v="75"/>
    <s v="Male"/>
    <s v="Infection"/>
    <s v="Pulmonology"/>
    <s v="Dr. Meena"/>
    <d v="2025-07-14T00:00:00"/>
    <d v="2025-08-03T00:00:00"/>
    <n v="204631"/>
    <s v="Private"/>
    <x v="1"/>
    <s v="Bangalore"/>
    <s v="Under Treatment"/>
    <n v="5"/>
  </r>
  <r>
    <s v="P0718"/>
    <n v="57"/>
    <s v="Female"/>
    <s v="Respiratory"/>
    <s v="General Medicine"/>
    <s v="Dr. Meena"/>
    <d v="2024-04-15T00:00:00"/>
    <d v="2024-04-19T00:00:00"/>
    <n v="227621"/>
    <s v="Government"/>
    <x v="0"/>
    <s v="Coimbatore"/>
    <s v="Recovered"/>
    <n v="1"/>
  </r>
  <r>
    <s v="P0719"/>
    <n v="55"/>
    <s v="Male"/>
    <s v="Cardiac"/>
    <s v="General Medicine"/>
    <s v="Dr. Kumar"/>
    <d v="2025-06-16T00:00:00"/>
    <d v="2025-06-27T00:00:00"/>
    <n v="62971"/>
    <s v="Private"/>
    <x v="3"/>
    <s v="Chennai"/>
    <s v="Recovered"/>
    <n v="4"/>
  </r>
  <r>
    <s v="P0720"/>
    <n v="24"/>
    <s v="Female"/>
    <s v="Cancer"/>
    <s v="Pulmonology"/>
    <s v="Dr. Raj"/>
    <d v="2024-01-15T00:00:00"/>
    <d v="2024-02-03T00:00:00"/>
    <n v="123284"/>
    <s v="Government"/>
    <x v="2"/>
    <s v="Madurai"/>
    <s v="Recovered"/>
    <n v="2"/>
  </r>
  <r>
    <s v="P0721"/>
    <n v="82"/>
    <s v="Male"/>
    <s v="Neurological"/>
    <s v="General Medicine"/>
    <s v="Dr. Raj"/>
    <d v="2024-05-19T00:00:00"/>
    <d v="2024-05-22T00:00:00"/>
    <n v="16213"/>
    <s v="Government"/>
    <x v="3"/>
    <s v="Hyderabad"/>
    <s v="Follow-up"/>
    <n v="4"/>
  </r>
  <r>
    <s v="P0722"/>
    <n v="63"/>
    <s v="Male"/>
    <s v="Neurological"/>
    <s v="Neurology"/>
    <s v="Dr. Meena"/>
    <d v="2025-04-18T00:00:00"/>
    <d v="2025-04-19T00:00:00"/>
    <n v="11795"/>
    <s v="None"/>
    <x v="2"/>
    <s v="Coimbatore"/>
    <s v="Recovered"/>
    <n v="1"/>
  </r>
  <r>
    <s v="P0723"/>
    <n v="77"/>
    <s v="Female"/>
    <s v="Infection"/>
    <s v="Cardiology"/>
    <s v="Dr. Meena"/>
    <d v="2025-03-24T00:00:00"/>
    <d v="2025-04-09T00:00:00"/>
    <n v="87429"/>
    <s v="Private"/>
    <x v="0"/>
    <s v="Chennai"/>
    <s v="Recovered"/>
    <n v="2"/>
  </r>
  <r>
    <s v="P0724"/>
    <n v="29"/>
    <s v="Female"/>
    <s v="Infection"/>
    <s v="Neurology"/>
    <s v="Dr. Meena"/>
    <d v="2025-02-20T00:00:00"/>
    <d v="2025-03-09T00:00:00"/>
    <n v="46799"/>
    <s v="Government"/>
    <x v="2"/>
    <s v="Bangalore"/>
    <s v="Under Treatment"/>
    <n v="2"/>
  </r>
  <r>
    <s v="P0725"/>
    <n v="38"/>
    <s v="Male"/>
    <s v="Cancer"/>
    <s v="Oncology"/>
    <s v="Dr. Raj"/>
    <d v="2024-06-24T00:00:00"/>
    <d v="2024-07-05T00:00:00"/>
    <n v="125952"/>
    <s v="Corporate"/>
    <x v="3"/>
    <s v="Chennai"/>
    <s v="Under Treatment"/>
    <n v="5"/>
  </r>
  <r>
    <s v="P0726"/>
    <n v="85"/>
    <s v="Female"/>
    <s v="Respiratory"/>
    <s v="Pulmonology"/>
    <s v="Dr. Priya"/>
    <d v="2025-10-01T00:00:00"/>
    <d v="2025-10-08T00:00:00"/>
    <n v="164053"/>
    <s v="Government"/>
    <x v="2"/>
    <s v="Hyderabad"/>
    <s v="Recovered"/>
    <n v="1"/>
  </r>
  <r>
    <s v="P0727"/>
    <n v="53"/>
    <s v="Female"/>
    <s v="Orthopedic"/>
    <s v="Pulmonology"/>
    <s v="Dr. Meena"/>
    <d v="2025-06-05T00:00:00"/>
    <d v="2025-06-25T00:00:00"/>
    <n v="248229"/>
    <s v="Government"/>
    <x v="1"/>
    <s v="Chennai"/>
    <s v="Under Treatment"/>
    <n v="4"/>
  </r>
  <r>
    <s v="P0728"/>
    <n v="78"/>
    <s v="Male"/>
    <s v="Orthopedic"/>
    <s v="Cardiology"/>
    <s v="Dr. Priya"/>
    <d v="2025-08-11T00:00:00"/>
    <d v="2025-08-28T00:00:00"/>
    <n v="65287"/>
    <s v="Government"/>
    <x v="2"/>
    <s v="Hyderabad"/>
    <s v="Under Treatment"/>
    <n v="4"/>
  </r>
  <r>
    <s v="P0729"/>
    <n v="23"/>
    <s v="Female"/>
    <s v="Neurological"/>
    <s v="Cardiology"/>
    <s v="Dr. Raj"/>
    <d v="2024-03-15T00:00:00"/>
    <d v="2024-03-16T00:00:00"/>
    <n v="111518"/>
    <s v="Private"/>
    <x v="1"/>
    <s v="Bangalore"/>
    <s v="Follow-up"/>
    <n v="1"/>
  </r>
  <r>
    <s v="P0730"/>
    <n v="85"/>
    <s v="Male"/>
    <s v="Orthopedic"/>
    <s v="Cardiology"/>
    <s v="Dr. Priya"/>
    <d v="2025-07-22T00:00:00"/>
    <d v="2025-08-06T00:00:00"/>
    <n v="186032"/>
    <s v="Corporate"/>
    <x v="2"/>
    <s v="Bangalore"/>
    <s v="Recovered"/>
    <n v="3"/>
  </r>
  <r>
    <s v="P0731"/>
    <n v="56"/>
    <s v="Male"/>
    <s v="Neurological"/>
    <s v="Orthopedics"/>
    <s v="Dr. Arun"/>
    <d v="2024-10-29T00:00:00"/>
    <d v="2024-11-17T00:00:00"/>
    <n v="133348"/>
    <s v="Private"/>
    <x v="2"/>
    <s v="Chennai"/>
    <s v="Under Treatment"/>
    <n v="4"/>
  </r>
  <r>
    <s v="P0732"/>
    <n v="52"/>
    <s v="Male"/>
    <s v="Cardiac"/>
    <s v="Neurology"/>
    <s v="Dr. Raj"/>
    <d v="2025-08-11T00:00:00"/>
    <d v="2025-08-31T00:00:00"/>
    <n v="166943"/>
    <s v="Corporate"/>
    <x v="3"/>
    <s v="Hyderabad"/>
    <s v="Recovered"/>
    <n v="1"/>
  </r>
  <r>
    <s v="P0733"/>
    <n v="82"/>
    <s v="Female"/>
    <s v="Neurological"/>
    <s v="Orthopedics"/>
    <s v="Dr. Priya"/>
    <d v="2024-08-03T00:00:00"/>
    <d v="2024-08-18T00:00:00"/>
    <n v="33032"/>
    <s v="None"/>
    <x v="1"/>
    <s v="Hyderabad"/>
    <s v="Follow-up"/>
    <n v="3"/>
  </r>
  <r>
    <s v="P0734"/>
    <n v="68"/>
    <s v="Female"/>
    <s v="Respiratory"/>
    <s v="Orthopedics"/>
    <s v="Dr. Kumar"/>
    <d v="2025-02-13T00:00:00"/>
    <d v="2025-02-26T00:00:00"/>
    <n v="168965"/>
    <s v="Private"/>
    <x v="2"/>
    <s v="Chennai"/>
    <s v="Recovered"/>
    <n v="2"/>
  </r>
  <r>
    <s v="P0735"/>
    <n v="30"/>
    <s v="Female"/>
    <s v="Infection"/>
    <s v="Oncology"/>
    <s v="Dr. Raj"/>
    <d v="2024-02-06T00:00:00"/>
    <d v="2024-02-17T00:00:00"/>
    <n v="220461"/>
    <s v="None"/>
    <x v="3"/>
    <s v="Bangalore"/>
    <s v="Under Treatment"/>
    <n v="5"/>
  </r>
  <r>
    <s v="P0736"/>
    <n v="36"/>
    <s v="Male"/>
    <s v="Neurological"/>
    <s v="Oncology"/>
    <s v="Dr. Arun"/>
    <d v="2024-01-04T00:00:00"/>
    <d v="2024-01-08T00:00:00"/>
    <n v="210359"/>
    <s v="Government"/>
    <x v="2"/>
    <s v="Madurai"/>
    <s v="Under Treatment"/>
    <n v="3"/>
  </r>
  <r>
    <s v="P0737"/>
    <n v="35"/>
    <s v="Female"/>
    <s v="Diabetes"/>
    <s v="Cardiology"/>
    <s v="Dr. Kumar"/>
    <d v="2024-10-04T00:00:00"/>
    <d v="2024-10-13T00:00:00"/>
    <n v="242983"/>
    <s v="None"/>
    <x v="0"/>
    <s v="Chennai"/>
    <s v="Under Treatment"/>
    <n v="2"/>
  </r>
  <r>
    <s v="P0738"/>
    <n v="34"/>
    <s v="Female"/>
    <s v="Respiratory"/>
    <s v="General Medicine"/>
    <s v="Dr. Priya"/>
    <d v="2025-11-20T00:00:00"/>
    <d v="2025-11-23T00:00:00"/>
    <n v="199528"/>
    <s v="None"/>
    <x v="3"/>
    <s v="Hyderabad"/>
    <s v="Under Treatment"/>
    <n v="5"/>
  </r>
  <r>
    <s v="P0739"/>
    <n v="50"/>
    <s v="Female"/>
    <s v="Diabetes"/>
    <s v="Neurology"/>
    <s v="Dr. Kumar"/>
    <d v="2024-10-01T00:00:00"/>
    <d v="2024-10-04T00:00:00"/>
    <n v="52154"/>
    <s v="Private"/>
    <x v="3"/>
    <s v="Madurai"/>
    <s v="Under Treatment"/>
    <n v="2"/>
  </r>
  <r>
    <s v="P0740"/>
    <n v="42"/>
    <s v="Male"/>
    <s v="Diabetes"/>
    <s v="Orthopedics"/>
    <s v="Dr. Arun"/>
    <d v="2025-01-05T00:00:00"/>
    <d v="2025-01-24T00:00:00"/>
    <n v="160734"/>
    <s v="Private"/>
    <x v="2"/>
    <s v="Chennai"/>
    <s v="Follow-up"/>
    <n v="4"/>
  </r>
  <r>
    <s v="P0741"/>
    <n v="47"/>
    <s v="Female"/>
    <s v="Neurological"/>
    <s v="Pulmonology"/>
    <s v="Dr. Kumar"/>
    <d v="2024-12-18T00:00:00"/>
    <d v="2024-12-20T00:00:00"/>
    <n v="230317"/>
    <s v="Private"/>
    <x v="1"/>
    <s v="Coimbatore"/>
    <s v="Recovered"/>
    <n v="5"/>
  </r>
  <r>
    <s v="P0742"/>
    <n v="50"/>
    <s v="Female"/>
    <s v="Respiratory"/>
    <s v="General Medicine"/>
    <s v="Dr. Arun"/>
    <d v="2024-02-09T00:00:00"/>
    <d v="2024-02-17T00:00:00"/>
    <n v="207367"/>
    <s v="Private"/>
    <x v="0"/>
    <s v="Bangalore"/>
    <s v="Follow-up"/>
    <n v="4"/>
  </r>
  <r>
    <s v="P0743"/>
    <n v="47"/>
    <s v="Male"/>
    <s v="Cardiac"/>
    <s v="Oncology"/>
    <s v="Dr. Kumar"/>
    <d v="2025-09-04T00:00:00"/>
    <d v="2025-09-21T00:00:00"/>
    <n v="151594"/>
    <s v="None"/>
    <x v="3"/>
    <s v="Hyderabad"/>
    <s v="Recovered"/>
    <n v="2"/>
  </r>
  <r>
    <s v="P0744"/>
    <n v="53"/>
    <s v="Female"/>
    <s v="Diabetes"/>
    <s v="Neurology"/>
    <s v="Dr. Meena"/>
    <d v="2025-01-15T00:00:00"/>
    <d v="2025-01-24T00:00:00"/>
    <n v="41483"/>
    <s v="None"/>
    <x v="3"/>
    <s v="Bangalore"/>
    <s v="Under Treatment"/>
    <n v="5"/>
  </r>
  <r>
    <s v="P0745"/>
    <n v="40"/>
    <s v="Male"/>
    <s v="Respiratory"/>
    <s v="Oncology"/>
    <s v="Dr. Meena"/>
    <d v="2025-03-03T00:00:00"/>
    <d v="2025-03-17T00:00:00"/>
    <n v="91173"/>
    <s v="Corporate"/>
    <x v="0"/>
    <s v="Hyderabad"/>
    <s v="Under Treatment"/>
    <n v="3"/>
  </r>
  <r>
    <s v="P0746"/>
    <n v="46"/>
    <s v="Male"/>
    <s v="Cardiac"/>
    <s v="Oncology"/>
    <s v="Dr. Priya"/>
    <d v="2024-09-03T00:00:00"/>
    <d v="2024-09-06T00:00:00"/>
    <n v="204147"/>
    <s v="Private"/>
    <x v="3"/>
    <s v="Coimbatore"/>
    <s v="Under Treatment"/>
    <n v="4"/>
  </r>
  <r>
    <s v="P0747"/>
    <n v="45"/>
    <s v="Male"/>
    <s v="Cancer"/>
    <s v="General Medicine"/>
    <s v="Dr. Raj"/>
    <d v="2025-07-02T00:00:00"/>
    <d v="2025-07-05T00:00:00"/>
    <n v="129953"/>
    <s v="None"/>
    <x v="0"/>
    <s v="Madurai"/>
    <s v="Recovered"/>
    <n v="5"/>
  </r>
  <r>
    <s v="P0748"/>
    <n v="46"/>
    <s v="Male"/>
    <s v="Diabetes"/>
    <s v="Cardiology"/>
    <s v="Dr. Kumar"/>
    <d v="2025-08-04T00:00:00"/>
    <d v="2025-08-10T00:00:00"/>
    <n v="200863"/>
    <s v="None"/>
    <x v="3"/>
    <s v="Chennai"/>
    <s v="Under Treatment"/>
    <n v="4"/>
  </r>
  <r>
    <s v="P0749"/>
    <n v="38"/>
    <s v="Male"/>
    <s v="Cardiac"/>
    <s v="Oncology"/>
    <s v="Dr. Raj"/>
    <d v="2025-07-26T00:00:00"/>
    <d v="2025-08-09T00:00:00"/>
    <n v="165974"/>
    <s v="Corporate"/>
    <x v="0"/>
    <s v="Coimbatore"/>
    <s v="Follow-up"/>
    <n v="4"/>
  </r>
  <r>
    <s v="P0750"/>
    <n v="82"/>
    <s v="Female"/>
    <s v="Cancer"/>
    <s v="Neurology"/>
    <s v="Dr. Kumar"/>
    <d v="2025-10-13T00:00:00"/>
    <d v="2025-10-27T00:00:00"/>
    <n v="163166"/>
    <s v="Government"/>
    <x v="0"/>
    <s v="Madurai"/>
    <s v="Recovered"/>
    <n v="3"/>
  </r>
  <r>
    <s v="P0751"/>
    <n v="27"/>
    <s v="Male"/>
    <s v="Cardiac"/>
    <s v="Orthopedics"/>
    <s v="Dr. Raj"/>
    <d v="2025-09-30T00:00:00"/>
    <d v="2025-10-12T00:00:00"/>
    <n v="55544"/>
    <s v="Corporate"/>
    <x v="3"/>
    <s v="Chennai"/>
    <s v="Under Treatment"/>
    <n v="2"/>
  </r>
  <r>
    <s v="P0752"/>
    <n v="81"/>
    <s v="Male"/>
    <s v="Cardiac"/>
    <s v="Orthopedics"/>
    <s v="Dr. Arun"/>
    <d v="2024-02-21T00:00:00"/>
    <d v="2024-03-05T00:00:00"/>
    <n v="64997"/>
    <s v="None"/>
    <x v="3"/>
    <s v="Hyderabad"/>
    <s v="Recovered"/>
    <n v="2"/>
  </r>
  <r>
    <s v="P0753"/>
    <n v="62"/>
    <s v="Male"/>
    <s v="Cancer"/>
    <s v="Neurology"/>
    <s v="Dr. Kumar"/>
    <d v="2025-04-16T00:00:00"/>
    <d v="2025-04-26T00:00:00"/>
    <n v="143188"/>
    <s v="Corporate"/>
    <x v="1"/>
    <s v="Madurai"/>
    <s v="Follow-up"/>
    <n v="1"/>
  </r>
  <r>
    <s v="P0754"/>
    <n v="71"/>
    <s v="Male"/>
    <s v="Orthopedic"/>
    <s v="Oncology"/>
    <s v="Dr. Priya"/>
    <d v="2024-09-25T00:00:00"/>
    <d v="2024-10-14T00:00:00"/>
    <n v="192267"/>
    <s v="Private"/>
    <x v="3"/>
    <s v="Madurai"/>
    <s v="Follow-up"/>
    <n v="2"/>
  </r>
  <r>
    <s v="P0755"/>
    <n v="57"/>
    <s v="Male"/>
    <s v="Cardiac"/>
    <s v="Pulmonology"/>
    <s v="Dr. Arun"/>
    <d v="2024-08-08T00:00:00"/>
    <d v="2024-08-10T00:00:00"/>
    <n v="199818"/>
    <s v="Government"/>
    <x v="3"/>
    <s v="Coimbatore"/>
    <s v="Under Treatment"/>
    <n v="4"/>
  </r>
  <r>
    <s v="P0756"/>
    <n v="80"/>
    <s v="Female"/>
    <s v="Orthopedic"/>
    <s v="Neurology"/>
    <s v="Dr. Meena"/>
    <d v="2024-03-23T00:00:00"/>
    <d v="2024-03-31T00:00:00"/>
    <n v="48641"/>
    <s v="Corporate"/>
    <x v="1"/>
    <s v="Madurai"/>
    <s v="Follow-up"/>
    <n v="2"/>
  </r>
  <r>
    <s v="P0757"/>
    <n v="23"/>
    <s v="Male"/>
    <s v="Cardiac"/>
    <s v="Neurology"/>
    <s v="Dr. Meena"/>
    <d v="2025-01-27T00:00:00"/>
    <d v="2025-02-16T00:00:00"/>
    <n v="127831"/>
    <s v="Private"/>
    <x v="3"/>
    <s v="Madurai"/>
    <s v="Follow-up"/>
    <n v="1"/>
  </r>
  <r>
    <s v="P0758"/>
    <n v="31"/>
    <s v="Female"/>
    <s v="Neurological"/>
    <s v="Orthopedics"/>
    <s v="Dr. Priya"/>
    <d v="2025-08-22T00:00:00"/>
    <d v="2025-09-02T00:00:00"/>
    <n v="174278"/>
    <s v="None"/>
    <x v="3"/>
    <s v="Chennai"/>
    <s v="Recovered"/>
    <n v="5"/>
  </r>
  <r>
    <s v="P0759"/>
    <n v="69"/>
    <s v="Female"/>
    <s v="Orthopedic"/>
    <s v="Pulmonology"/>
    <s v="Dr. Priya"/>
    <d v="2025-04-02T00:00:00"/>
    <d v="2025-04-08T00:00:00"/>
    <n v="39361"/>
    <s v="None"/>
    <x v="1"/>
    <s v="Coimbatore"/>
    <s v="Under Treatment"/>
    <n v="5"/>
  </r>
  <r>
    <s v="P0760"/>
    <n v="66"/>
    <s v="Female"/>
    <s v="Respiratory"/>
    <s v="Pulmonology"/>
    <s v="Dr. Priya"/>
    <d v="2025-10-14T00:00:00"/>
    <d v="2025-11-03T00:00:00"/>
    <n v="145685"/>
    <s v="Government"/>
    <x v="2"/>
    <s v="Hyderabad"/>
    <s v="Recovered"/>
    <n v="4"/>
  </r>
  <r>
    <s v="P0761"/>
    <n v="47"/>
    <s v="Male"/>
    <s v="Infection"/>
    <s v="Pulmonology"/>
    <s v="Dr. Kumar"/>
    <d v="2025-07-13T00:00:00"/>
    <d v="2025-07-16T00:00:00"/>
    <n v="237160"/>
    <s v="Corporate"/>
    <x v="1"/>
    <s v="Madurai"/>
    <s v="Follow-up"/>
    <n v="2"/>
  </r>
  <r>
    <s v="P0762"/>
    <n v="38"/>
    <s v="Female"/>
    <s v="Cancer"/>
    <s v="Cardiology"/>
    <s v="Dr. Priya"/>
    <d v="2024-06-29T00:00:00"/>
    <d v="2024-07-15T00:00:00"/>
    <n v="56705"/>
    <s v="Government"/>
    <x v="3"/>
    <s v="Madurai"/>
    <s v="Follow-up"/>
    <n v="2"/>
  </r>
  <r>
    <s v="P0763"/>
    <n v="45"/>
    <s v="Male"/>
    <s v="Neurological"/>
    <s v="Oncology"/>
    <s v="Dr. Arun"/>
    <d v="2024-07-01T00:00:00"/>
    <d v="2024-07-21T00:00:00"/>
    <n v="171434"/>
    <s v="Corporate"/>
    <x v="0"/>
    <s v="Chennai"/>
    <s v="Under Treatment"/>
    <n v="5"/>
  </r>
  <r>
    <s v="P0764"/>
    <n v="74"/>
    <s v="Female"/>
    <s v="Cancer"/>
    <s v="General Medicine"/>
    <s v="Dr. Priya"/>
    <d v="2025-06-14T00:00:00"/>
    <d v="2025-07-02T00:00:00"/>
    <n v="215324"/>
    <s v="Private"/>
    <x v="0"/>
    <s v="Hyderabad"/>
    <s v="Follow-up"/>
    <n v="4"/>
  </r>
  <r>
    <s v="P0765"/>
    <n v="75"/>
    <s v="Male"/>
    <s v="Diabetes"/>
    <s v="Cardiology"/>
    <s v="Dr. Raj"/>
    <d v="2024-08-25T00:00:00"/>
    <d v="2024-09-08T00:00:00"/>
    <n v="184715"/>
    <s v="Corporate"/>
    <x v="0"/>
    <s v="Coimbatore"/>
    <s v="Follow-up"/>
    <n v="1"/>
  </r>
  <r>
    <s v="P0766"/>
    <n v="43"/>
    <s v="Male"/>
    <s v="Neurological"/>
    <s v="Oncology"/>
    <s v="Dr. Arun"/>
    <d v="2025-03-07T00:00:00"/>
    <d v="2025-03-18T00:00:00"/>
    <n v="56753"/>
    <s v="None"/>
    <x v="0"/>
    <s v="Coimbatore"/>
    <s v="Follow-up"/>
    <n v="1"/>
  </r>
  <r>
    <s v="P0767"/>
    <n v="82"/>
    <s v="Male"/>
    <s v="Respiratory"/>
    <s v="General Medicine"/>
    <s v="Dr. Arun"/>
    <d v="2025-04-26T00:00:00"/>
    <d v="2025-05-04T00:00:00"/>
    <n v="143513"/>
    <s v="Corporate"/>
    <x v="1"/>
    <s v="Madurai"/>
    <s v="Recovered"/>
    <n v="1"/>
  </r>
  <r>
    <s v="P0768"/>
    <n v="80"/>
    <s v="Female"/>
    <s v="Cancer"/>
    <s v="Orthopedics"/>
    <s v="Dr. Raj"/>
    <d v="2024-02-05T00:00:00"/>
    <d v="2024-02-16T00:00:00"/>
    <n v="20996"/>
    <s v="Government"/>
    <x v="3"/>
    <s v="Coimbatore"/>
    <s v="Follow-up"/>
    <n v="1"/>
  </r>
  <r>
    <s v="P0769"/>
    <n v="74"/>
    <s v="Male"/>
    <s v="Cancer"/>
    <s v="Pulmonology"/>
    <s v="Dr. Kumar"/>
    <d v="2025-10-10T00:00:00"/>
    <d v="2025-10-22T00:00:00"/>
    <n v="105797"/>
    <s v="Corporate"/>
    <x v="0"/>
    <s v="Hyderabad"/>
    <s v="Recovered"/>
    <n v="2"/>
  </r>
  <r>
    <s v="P0770"/>
    <n v="83"/>
    <s v="Male"/>
    <s v="Neurological"/>
    <s v="Pulmonology"/>
    <s v="Dr. Kumar"/>
    <d v="2024-11-04T00:00:00"/>
    <d v="2024-11-14T00:00:00"/>
    <n v="31164"/>
    <s v="None"/>
    <x v="2"/>
    <s v="Hyderabad"/>
    <s v="Under Treatment"/>
    <n v="2"/>
  </r>
  <r>
    <s v="P0771"/>
    <n v="63"/>
    <s v="Female"/>
    <s v="Diabetes"/>
    <s v="General Medicine"/>
    <s v="Dr. Kumar"/>
    <d v="2024-01-12T00:00:00"/>
    <d v="2024-01-26T00:00:00"/>
    <n v="200861"/>
    <s v="Government"/>
    <x v="3"/>
    <s v="Hyderabad"/>
    <s v="Follow-up"/>
    <n v="2"/>
  </r>
  <r>
    <s v="P0772"/>
    <n v="48"/>
    <s v="Male"/>
    <s v="Cardiac"/>
    <s v="Oncology"/>
    <s v="Dr. Meena"/>
    <d v="2025-04-23T00:00:00"/>
    <d v="2025-04-30T00:00:00"/>
    <n v="64534"/>
    <s v="Government"/>
    <x v="3"/>
    <s v="Chennai"/>
    <s v="Follow-up"/>
    <n v="5"/>
  </r>
  <r>
    <s v="P0773"/>
    <n v="32"/>
    <s v="Male"/>
    <s v="Cancer"/>
    <s v="Oncology"/>
    <s v="Dr. Priya"/>
    <d v="2025-01-13T00:00:00"/>
    <d v="2025-01-18T00:00:00"/>
    <n v="228621"/>
    <s v="Corporate"/>
    <x v="1"/>
    <s v="Chennai"/>
    <s v="Follow-up"/>
    <n v="5"/>
  </r>
  <r>
    <s v="P0774"/>
    <n v="43"/>
    <s v="Male"/>
    <s v="Diabetes"/>
    <s v="Oncology"/>
    <s v="Dr. Meena"/>
    <d v="2025-08-23T00:00:00"/>
    <d v="2025-08-28T00:00:00"/>
    <n v="5466"/>
    <s v="None"/>
    <x v="0"/>
    <s v="Bangalore"/>
    <s v="Under Treatment"/>
    <n v="3"/>
  </r>
  <r>
    <s v="P0775"/>
    <n v="78"/>
    <s v="Male"/>
    <s v="Cancer"/>
    <s v="General Medicine"/>
    <s v="Dr. Kumar"/>
    <d v="2024-05-22T00:00:00"/>
    <d v="2024-05-25T00:00:00"/>
    <n v="11285"/>
    <s v="Corporate"/>
    <x v="2"/>
    <s v="Bangalore"/>
    <s v="Recovered"/>
    <n v="5"/>
  </r>
  <r>
    <s v="P0776"/>
    <n v="22"/>
    <s v="Female"/>
    <s v="Cardiac"/>
    <s v="Pulmonology"/>
    <s v="Dr. Meena"/>
    <d v="2024-06-15T00:00:00"/>
    <d v="2024-06-19T00:00:00"/>
    <n v="89111"/>
    <s v="Private"/>
    <x v="1"/>
    <s v="Coimbatore"/>
    <s v="Recovered"/>
    <n v="2"/>
  </r>
  <r>
    <s v="P0777"/>
    <n v="57"/>
    <s v="Female"/>
    <s v="Cardiac"/>
    <s v="Cardiology"/>
    <s v="Dr. Meena"/>
    <d v="2024-06-23T00:00:00"/>
    <d v="2024-06-29T00:00:00"/>
    <n v="72602"/>
    <s v="Corporate"/>
    <x v="3"/>
    <s v="Madurai"/>
    <s v="Recovered"/>
    <n v="2"/>
  </r>
  <r>
    <s v="P0778"/>
    <n v="44"/>
    <s v="Male"/>
    <s v="Infection"/>
    <s v="Neurology"/>
    <s v="Dr. Priya"/>
    <d v="2024-02-23T00:00:00"/>
    <d v="2024-02-25T00:00:00"/>
    <n v="80847"/>
    <s v="Corporate"/>
    <x v="0"/>
    <s v="Chennai"/>
    <s v="Follow-up"/>
    <n v="3"/>
  </r>
  <r>
    <s v="P0779"/>
    <n v="33"/>
    <s v="Male"/>
    <s v="Respiratory"/>
    <s v="Orthopedics"/>
    <s v="Dr. Kumar"/>
    <d v="2025-02-11T00:00:00"/>
    <d v="2025-02-26T00:00:00"/>
    <n v="42913"/>
    <s v="Corporate"/>
    <x v="3"/>
    <s v="Madurai"/>
    <s v="Follow-up"/>
    <n v="2"/>
  </r>
  <r>
    <s v="P0780"/>
    <n v="40"/>
    <s v="Male"/>
    <s v="Neurological"/>
    <s v="Pulmonology"/>
    <s v="Dr. Priya"/>
    <d v="2024-12-22T00:00:00"/>
    <d v="2025-01-08T00:00:00"/>
    <n v="35790"/>
    <s v="Government"/>
    <x v="3"/>
    <s v="Hyderabad"/>
    <s v="Recovered"/>
    <n v="2"/>
  </r>
  <r>
    <s v="P0781"/>
    <n v="29"/>
    <s v="Male"/>
    <s v="Cancer"/>
    <s v="Oncology"/>
    <s v="Dr. Arun"/>
    <d v="2025-11-30T00:00:00"/>
    <d v="2025-12-05T00:00:00"/>
    <n v="34814"/>
    <s v="None"/>
    <x v="1"/>
    <s v="Coimbatore"/>
    <s v="Under Treatment"/>
    <n v="2"/>
  </r>
  <r>
    <s v="P0782"/>
    <n v="45"/>
    <s v="Male"/>
    <s v="Orthopedic"/>
    <s v="Cardiology"/>
    <s v="Dr. Priya"/>
    <d v="2024-06-11T00:00:00"/>
    <d v="2024-06-16T00:00:00"/>
    <n v="113820"/>
    <s v="Private"/>
    <x v="2"/>
    <s v="Madurai"/>
    <s v="Under Treatment"/>
    <n v="5"/>
  </r>
  <r>
    <s v="P0783"/>
    <n v="21"/>
    <s v="Female"/>
    <s v="Infection"/>
    <s v="Cardiology"/>
    <s v="Dr. Arun"/>
    <d v="2025-03-07T00:00:00"/>
    <d v="2025-03-16T00:00:00"/>
    <n v="224247"/>
    <s v="Corporate"/>
    <x v="1"/>
    <s v="Hyderabad"/>
    <s v="Recovered"/>
    <n v="3"/>
  </r>
  <r>
    <s v="P0784"/>
    <n v="74"/>
    <s v="Male"/>
    <s v="Cancer"/>
    <s v="Orthopedics"/>
    <s v="Dr. Raj"/>
    <d v="2025-06-06T00:00:00"/>
    <d v="2025-06-09T00:00:00"/>
    <n v="111695"/>
    <s v="Private"/>
    <x v="1"/>
    <s v="Coimbatore"/>
    <s v="Recovered"/>
    <n v="5"/>
  </r>
  <r>
    <s v="P0785"/>
    <n v="80"/>
    <s v="Female"/>
    <s v="Diabetes"/>
    <s v="Cardiology"/>
    <s v="Dr. Priya"/>
    <d v="2024-11-09T00:00:00"/>
    <d v="2024-11-20T00:00:00"/>
    <n v="108276"/>
    <s v="None"/>
    <x v="0"/>
    <s v="Coimbatore"/>
    <s v="Recovered"/>
    <n v="1"/>
  </r>
  <r>
    <s v="P0786"/>
    <n v="82"/>
    <s v="Female"/>
    <s v="Neurological"/>
    <s v="Neurology"/>
    <s v="Dr. Meena"/>
    <d v="2025-11-12T00:00:00"/>
    <d v="2025-11-14T00:00:00"/>
    <n v="156110"/>
    <s v="None"/>
    <x v="1"/>
    <s v="Chennai"/>
    <s v="Follow-up"/>
    <n v="1"/>
  </r>
  <r>
    <s v="P0787"/>
    <n v="74"/>
    <s v="Female"/>
    <s v="Orthopedic"/>
    <s v="Orthopedics"/>
    <s v="Dr. Priya"/>
    <d v="2025-12-20T00:00:00"/>
    <d v="2026-01-06T00:00:00"/>
    <n v="40597"/>
    <s v="Private"/>
    <x v="0"/>
    <s v="Madurai"/>
    <s v="Under Treatment"/>
    <n v="4"/>
  </r>
  <r>
    <s v="P0788"/>
    <n v="67"/>
    <s v="Female"/>
    <s v="Orthopedic"/>
    <s v="Neurology"/>
    <s v="Dr. Arun"/>
    <d v="2025-12-05T00:00:00"/>
    <d v="2025-12-18T00:00:00"/>
    <n v="94830"/>
    <s v="Private"/>
    <x v="1"/>
    <s v="Madurai"/>
    <s v="Follow-up"/>
    <n v="5"/>
  </r>
  <r>
    <s v="P0789"/>
    <n v="33"/>
    <s v="Male"/>
    <s v="Cancer"/>
    <s v="General Medicine"/>
    <s v="Dr. Kumar"/>
    <d v="2025-10-08T00:00:00"/>
    <d v="2025-10-24T00:00:00"/>
    <n v="113156"/>
    <s v="None"/>
    <x v="1"/>
    <s v="Coimbatore"/>
    <s v="Recovered"/>
    <n v="4"/>
  </r>
  <r>
    <s v="P0790"/>
    <n v="66"/>
    <s v="Male"/>
    <s v="Infection"/>
    <s v="General Medicine"/>
    <s v="Dr. Kumar"/>
    <d v="2025-04-27T00:00:00"/>
    <d v="2025-05-03T00:00:00"/>
    <n v="176860"/>
    <s v="None"/>
    <x v="2"/>
    <s v="Coimbatore"/>
    <s v="Recovered"/>
    <n v="2"/>
  </r>
  <r>
    <s v="P0791"/>
    <n v="39"/>
    <s v="Male"/>
    <s v="Neurological"/>
    <s v="General Medicine"/>
    <s v="Dr. Kumar"/>
    <d v="2024-09-10T00:00:00"/>
    <d v="2024-09-14T00:00:00"/>
    <n v="56977"/>
    <s v="Private"/>
    <x v="0"/>
    <s v="Coimbatore"/>
    <s v="Recovered"/>
    <n v="2"/>
  </r>
  <r>
    <s v="P0792"/>
    <n v="24"/>
    <s v="Female"/>
    <s v="Neurological"/>
    <s v="General Medicine"/>
    <s v="Dr. Meena"/>
    <d v="2025-03-30T00:00:00"/>
    <d v="2025-04-01T00:00:00"/>
    <n v="10661"/>
    <s v="Private"/>
    <x v="3"/>
    <s v="Bangalore"/>
    <s v="Follow-up"/>
    <n v="2"/>
  </r>
  <r>
    <s v="P0793"/>
    <n v="43"/>
    <s v="Female"/>
    <s v="Cancer"/>
    <s v="Cardiology"/>
    <s v="Dr. Meena"/>
    <d v="2025-06-06T00:00:00"/>
    <d v="2025-06-20T00:00:00"/>
    <n v="72325"/>
    <s v="Corporate"/>
    <x v="2"/>
    <s v="Madurai"/>
    <s v="Under Treatment"/>
    <n v="5"/>
  </r>
  <r>
    <s v="P0794"/>
    <n v="52"/>
    <s v="Male"/>
    <s v="Cancer"/>
    <s v="Neurology"/>
    <s v="Dr. Kumar"/>
    <d v="2025-04-08T00:00:00"/>
    <d v="2025-04-22T00:00:00"/>
    <n v="112511"/>
    <s v="None"/>
    <x v="2"/>
    <s v="Bangalore"/>
    <s v="Under Treatment"/>
    <n v="5"/>
  </r>
  <r>
    <s v="P0795"/>
    <n v="61"/>
    <s v="Female"/>
    <s v="Respiratory"/>
    <s v="Oncology"/>
    <s v="Dr. Raj"/>
    <d v="2025-05-05T00:00:00"/>
    <d v="2025-05-23T00:00:00"/>
    <n v="18093"/>
    <s v="Government"/>
    <x v="3"/>
    <s v="Hyderabad"/>
    <s v="Recovered"/>
    <n v="3"/>
  </r>
  <r>
    <s v="P0796"/>
    <n v="81"/>
    <s v="Female"/>
    <s v="Cancer"/>
    <s v="Neurology"/>
    <s v="Dr. Meena"/>
    <d v="2024-02-17T00:00:00"/>
    <d v="2024-02-18T00:00:00"/>
    <n v="21173"/>
    <s v="Corporate"/>
    <x v="2"/>
    <s v="Madurai"/>
    <s v="Recovered"/>
    <n v="4"/>
  </r>
  <r>
    <s v="P0797"/>
    <n v="54"/>
    <s v="Female"/>
    <s v="Respiratory"/>
    <s v="Oncology"/>
    <s v="Dr. Kumar"/>
    <d v="2025-07-20T00:00:00"/>
    <d v="2025-07-26T00:00:00"/>
    <n v="15399"/>
    <s v="Private"/>
    <x v="2"/>
    <s v="Bangalore"/>
    <s v="Under Treatment"/>
    <n v="5"/>
  </r>
  <r>
    <s v="P0798"/>
    <n v="40"/>
    <s v="Male"/>
    <s v="Cancer"/>
    <s v="Orthopedics"/>
    <s v="Dr. Kumar"/>
    <d v="2024-09-23T00:00:00"/>
    <d v="2024-09-28T00:00:00"/>
    <n v="55347"/>
    <s v="Corporate"/>
    <x v="2"/>
    <s v="Madurai"/>
    <s v="Recovered"/>
    <n v="2"/>
  </r>
  <r>
    <s v="P0799"/>
    <n v="59"/>
    <s v="Female"/>
    <s v="Respiratory"/>
    <s v="Orthopedics"/>
    <s v="Dr. Arun"/>
    <d v="2024-11-09T00:00:00"/>
    <d v="2024-11-21T00:00:00"/>
    <n v="247026"/>
    <s v="Corporate"/>
    <x v="0"/>
    <s v="Madurai"/>
    <s v="Under Treatment"/>
    <n v="1"/>
  </r>
  <r>
    <s v="P0800"/>
    <n v="43"/>
    <s v="Male"/>
    <s v="Infection"/>
    <s v="Cardiology"/>
    <s v="Dr. Raj"/>
    <d v="2025-07-09T00:00:00"/>
    <d v="2025-07-19T00:00:00"/>
    <n v="25548"/>
    <s v="Corporate"/>
    <x v="3"/>
    <s v="Madurai"/>
    <s v="Follow-up"/>
    <n v="1"/>
  </r>
  <r>
    <s v="P0801"/>
    <n v="60"/>
    <s v="Male"/>
    <s v="Cardiac"/>
    <s v="Neurology"/>
    <s v="Dr. Arun"/>
    <d v="2024-09-01T00:00:00"/>
    <d v="2024-09-21T00:00:00"/>
    <n v="188353"/>
    <s v="Corporate"/>
    <x v="1"/>
    <s v="Chennai"/>
    <s v="Recovered"/>
    <n v="2"/>
  </r>
  <r>
    <s v="P0802"/>
    <n v="66"/>
    <s v="Female"/>
    <s v="Neurological"/>
    <s v="Orthopedics"/>
    <s v="Dr. Meena"/>
    <d v="2025-04-27T00:00:00"/>
    <d v="2025-05-16T00:00:00"/>
    <n v="49614"/>
    <s v="Corporate"/>
    <x v="0"/>
    <s v="Bangalore"/>
    <s v="Under Treatment"/>
    <n v="1"/>
  </r>
  <r>
    <s v="P0803"/>
    <n v="46"/>
    <s v="Male"/>
    <s v="Respiratory"/>
    <s v="Cardiology"/>
    <s v="Dr. Meena"/>
    <d v="2025-09-20T00:00:00"/>
    <d v="2025-09-26T00:00:00"/>
    <n v="15348"/>
    <s v="None"/>
    <x v="3"/>
    <s v="Bangalore"/>
    <s v="Under Treatment"/>
    <n v="5"/>
  </r>
  <r>
    <s v="P0804"/>
    <n v="73"/>
    <s v="Male"/>
    <s v="Diabetes"/>
    <s v="Neurology"/>
    <s v="Dr. Meena"/>
    <d v="2024-03-19T00:00:00"/>
    <d v="2024-04-04T00:00:00"/>
    <n v="227357"/>
    <s v="Government"/>
    <x v="2"/>
    <s v="Chennai"/>
    <s v="Follow-up"/>
    <n v="3"/>
  </r>
  <r>
    <s v="P0805"/>
    <n v="61"/>
    <s v="Female"/>
    <s v="Neurological"/>
    <s v="Cardiology"/>
    <s v="Dr. Arun"/>
    <d v="2024-07-23T00:00:00"/>
    <d v="2024-07-31T00:00:00"/>
    <n v="237702"/>
    <s v="None"/>
    <x v="0"/>
    <s v="Hyderabad"/>
    <s v="Recovered"/>
    <n v="3"/>
  </r>
  <r>
    <s v="P0806"/>
    <n v="60"/>
    <s v="Female"/>
    <s v="Respiratory"/>
    <s v="Oncology"/>
    <s v="Dr. Raj"/>
    <d v="2024-11-22T00:00:00"/>
    <d v="2024-12-06T00:00:00"/>
    <n v="12723"/>
    <s v="Government"/>
    <x v="1"/>
    <s v="Bangalore"/>
    <s v="Recovered"/>
    <n v="1"/>
  </r>
  <r>
    <s v="P0807"/>
    <n v="38"/>
    <s v="Male"/>
    <s v="Infection"/>
    <s v="Orthopedics"/>
    <s v="Dr. Kumar"/>
    <d v="2025-10-02T00:00:00"/>
    <d v="2025-10-19T00:00:00"/>
    <n v="47002"/>
    <s v="Government"/>
    <x v="1"/>
    <s v="Coimbatore"/>
    <s v="Follow-up"/>
    <n v="3"/>
  </r>
  <r>
    <s v="P0808"/>
    <n v="27"/>
    <s v="Female"/>
    <s v="Orthopedic"/>
    <s v="Orthopedics"/>
    <s v="Dr. Raj"/>
    <d v="2024-05-03T00:00:00"/>
    <d v="2024-05-06T00:00:00"/>
    <n v="107292"/>
    <s v="None"/>
    <x v="2"/>
    <s v="Coimbatore"/>
    <s v="Under Treatment"/>
    <n v="2"/>
  </r>
  <r>
    <s v="P0809"/>
    <n v="83"/>
    <s v="Female"/>
    <s v="Respiratory"/>
    <s v="General Medicine"/>
    <s v="Dr. Meena"/>
    <d v="2024-06-17T00:00:00"/>
    <d v="2024-06-20T00:00:00"/>
    <n v="91881"/>
    <s v="None"/>
    <x v="1"/>
    <s v="Coimbatore"/>
    <s v="Recovered"/>
    <n v="2"/>
  </r>
  <r>
    <s v="P0810"/>
    <n v="24"/>
    <s v="Male"/>
    <s v="Respiratory"/>
    <s v="Cardiology"/>
    <s v="Dr. Arun"/>
    <d v="2024-12-19T00:00:00"/>
    <d v="2025-01-06T00:00:00"/>
    <n v="105996"/>
    <s v="Private"/>
    <x v="1"/>
    <s v="Coimbatore"/>
    <s v="Recovered"/>
    <n v="1"/>
  </r>
  <r>
    <s v="P0811"/>
    <n v="70"/>
    <s v="Female"/>
    <s v="Respiratory"/>
    <s v="Oncology"/>
    <s v="Dr. Kumar"/>
    <d v="2025-04-03T00:00:00"/>
    <d v="2025-04-17T00:00:00"/>
    <n v="20229"/>
    <s v="Government"/>
    <x v="0"/>
    <s v="Coimbatore"/>
    <s v="Follow-up"/>
    <n v="4"/>
  </r>
  <r>
    <s v="P0812"/>
    <n v="29"/>
    <s v="Female"/>
    <s v="Cardiac"/>
    <s v="Pulmonology"/>
    <s v="Dr. Arun"/>
    <d v="2025-06-09T00:00:00"/>
    <d v="2025-06-20T00:00:00"/>
    <n v="69921"/>
    <s v="Private"/>
    <x v="2"/>
    <s v="Hyderabad"/>
    <s v="Under Treatment"/>
    <n v="1"/>
  </r>
  <r>
    <s v="P0813"/>
    <n v="25"/>
    <s v="Male"/>
    <s v="Infection"/>
    <s v="Orthopedics"/>
    <s v="Dr. Meena"/>
    <d v="2024-05-20T00:00:00"/>
    <d v="2024-05-25T00:00:00"/>
    <n v="95601"/>
    <s v="None"/>
    <x v="2"/>
    <s v="Coimbatore"/>
    <s v="Recovered"/>
    <n v="4"/>
  </r>
  <r>
    <s v="P0814"/>
    <n v="52"/>
    <s v="Male"/>
    <s v="Orthopedic"/>
    <s v="General Medicine"/>
    <s v="Dr. Arun"/>
    <d v="2025-12-02T00:00:00"/>
    <d v="2025-12-13T00:00:00"/>
    <n v="76848"/>
    <s v="Private"/>
    <x v="1"/>
    <s v="Chennai"/>
    <s v="Follow-up"/>
    <n v="2"/>
  </r>
  <r>
    <s v="P0815"/>
    <n v="52"/>
    <s v="Male"/>
    <s v="Cancer"/>
    <s v="Oncology"/>
    <s v="Dr. Kumar"/>
    <d v="2024-07-31T00:00:00"/>
    <d v="2024-08-06T00:00:00"/>
    <n v="58391"/>
    <s v="Private"/>
    <x v="2"/>
    <s v="Hyderabad"/>
    <s v="Follow-up"/>
    <n v="5"/>
  </r>
  <r>
    <s v="P0816"/>
    <n v="60"/>
    <s v="Male"/>
    <s v="Respiratory"/>
    <s v="General Medicine"/>
    <s v="Dr. Arun"/>
    <d v="2024-06-15T00:00:00"/>
    <d v="2024-06-23T00:00:00"/>
    <n v="13122"/>
    <s v="Government"/>
    <x v="2"/>
    <s v="Coimbatore"/>
    <s v="Under Treatment"/>
    <n v="2"/>
  </r>
  <r>
    <s v="P0817"/>
    <n v="48"/>
    <s v="Male"/>
    <s v="Infection"/>
    <s v="Oncology"/>
    <s v="Dr. Arun"/>
    <d v="2025-05-30T00:00:00"/>
    <d v="2025-06-08T00:00:00"/>
    <n v="9245"/>
    <s v="None"/>
    <x v="0"/>
    <s v="Coimbatore"/>
    <s v="Recovered"/>
    <n v="5"/>
  </r>
  <r>
    <s v="P0818"/>
    <n v="19"/>
    <s v="Female"/>
    <s v="Cancer"/>
    <s v="Cardiology"/>
    <s v="Dr. Kumar"/>
    <d v="2025-03-18T00:00:00"/>
    <d v="2025-04-07T00:00:00"/>
    <n v="89210"/>
    <s v="Government"/>
    <x v="3"/>
    <s v="Coimbatore"/>
    <s v="Follow-up"/>
    <n v="1"/>
  </r>
  <r>
    <s v="P0819"/>
    <n v="23"/>
    <s v="Male"/>
    <s v="Orthopedic"/>
    <s v="Pulmonology"/>
    <s v="Dr. Raj"/>
    <d v="2025-02-23T00:00:00"/>
    <d v="2025-03-03T00:00:00"/>
    <n v="196937"/>
    <s v="Private"/>
    <x v="3"/>
    <s v="Hyderabad"/>
    <s v="Recovered"/>
    <n v="5"/>
  </r>
  <r>
    <s v="P0820"/>
    <n v="22"/>
    <s v="Male"/>
    <s v="Orthopedic"/>
    <s v="Cardiology"/>
    <s v="Dr. Arun"/>
    <d v="2024-04-25T00:00:00"/>
    <d v="2024-05-03T00:00:00"/>
    <n v="172619"/>
    <s v="None"/>
    <x v="3"/>
    <s v="Coimbatore"/>
    <s v="Under Treatment"/>
    <n v="1"/>
  </r>
  <r>
    <s v="P0821"/>
    <n v="63"/>
    <s v="Female"/>
    <s v="Cardiac"/>
    <s v="Pulmonology"/>
    <s v="Dr. Priya"/>
    <d v="2024-11-02T00:00:00"/>
    <d v="2024-11-08T00:00:00"/>
    <n v="76521"/>
    <s v="Private"/>
    <x v="0"/>
    <s v="Madurai"/>
    <s v="Recovered"/>
    <n v="2"/>
  </r>
  <r>
    <s v="P0822"/>
    <n v="85"/>
    <s v="Male"/>
    <s v="Neurological"/>
    <s v="Cardiology"/>
    <s v="Dr. Kumar"/>
    <d v="2025-08-27T00:00:00"/>
    <d v="2025-09-08T00:00:00"/>
    <n v="231195"/>
    <s v="None"/>
    <x v="0"/>
    <s v="Hyderabad"/>
    <s v="Recovered"/>
    <n v="2"/>
  </r>
  <r>
    <s v="P0823"/>
    <n v="69"/>
    <s v="Female"/>
    <s v="Respiratory"/>
    <s v="Cardiology"/>
    <s v="Dr. Raj"/>
    <d v="2025-07-13T00:00:00"/>
    <d v="2025-07-23T00:00:00"/>
    <n v="68456"/>
    <s v="Government"/>
    <x v="1"/>
    <s v="Hyderabad"/>
    <s v="Recovered"/>
    <n v="3"/>
  </r>
  <r>
    <s v="P0824"/>
    <n v="58"/>
    <s v="Female"/>
    <s v="Cardiac"/>
    <s v="Neurology"/>
    <s v="Dr. Arun"/>
    <d v="2024-02-12T00:00:00"/>
    <d v="2024-02-22T00:00:00"/>
    <n v="22440"/>
    <s v="Corporate"/>
    <x v="3"/>
    <s v="Madurai"/>
    <s v="Recovered"/>
    <n v="1"/>
  </r>
  <r>
    <s v="P0825"/>
    <n v="24"/>
    <s v="Male"/>
    <s v="Orthopedic"/>
    <s v="Neurology"/>
    <s v="Dr. Raj"/>
    <d v="2025-05-28T00:00:00"/>
    <d v="2025-06-06T00:00:00"/>
    <n v="82105"/>
    <s v="Government"/>
    <x v="2"/>
    <s v="Hyderabad"/>
    <s v="Recovered"/>
    <n v="1"/>
  </r>
  <r>
    <s v="P0826"/>
    <n v="80"/>
    <s v="Female"/>
    <s v="Cancer"/>
    <s v="Oncology"/>
    <s v="Dr. Raj"/>
    <d v="2024-09-17T00:00:00"/>
    <d v="2024-09-28T00:00:00"/>
    <n v="199192"/>
    <s v="None"/>
    <x v="0"/>
    <s v="Hyderabad"/>
    <s v="Under Treatment"/>
    <n v="2"/>
  </r>
  <r>
    <s v="P0827"/>
    <n v="67"/>
    <s v="Female"/>
    <s v="Respiratory"/>
    <s v="Cardiology"/>
    <s v="Dr. Priya"/>
    <d v="2025-01-15T00:00:00"/>
    <d v="2025-01-26T00:00:00"/>
    <n v="237038"/>
    <s v="Private"/>
    <x v="3"/>
    <s v="Bangalore"/>
    <s v="Under Treatment"/>
    <n v="5"/>
  </r>
  <r>
    <s v="P0828"/>
    <n v="49"/>
    <s v="Male"/>
    <s v="Respiratory"/>
    <s v="General Medicine"/>
    <s v="Dr. Meena"/>
    <d v="2025-08-12T00:00:00"/>
    <d v="2025-08-30T00:00:00"/>
    <n v="96196"/>
    <s v="Private"/>
    <x v="2"/>
    <s v="Hyderabad"/>
    <s v="Under Treatment"/>
    <n v="3"/>
  </r>
  <r>
    <s v="P0829"/>
    <n v="61"/>
    <s v="Female"/>
    <s v="Respiratory"/>
    <s v="Oncology"/>
    <s v="Dr. Kumar"/>
    <d v="2024-11-11T00:00:00"/>
    <d v="2024-12-01T00:00:00"/>
    <n v="231770"/>
    <s v="None"/>
    <x v="0"/>
    <s v="Madurai"/>
    <s v="Follow-up"/>
    <n v="3"/>
  </r>
  <r>
    <s v="P0830"/>
    <n v="83"/>
    <s v="Female"/>
    <s v="Cardiac"/>
    <s v="General Medicine"/>
    <s v="Dr. Meena"/>
    <d v="2024-09-05T00:00:00"/>
    <d v="2024-09-10T00:00:00"/>
    <n v="194000"/>
    <s v="Government"/>
    <x v="2"/>
    <s v="Bangalore"/>
    <s v="Under Treatment"/>
    <n v="5"/>
  </r>
  <r>
    <s v="P0831"/>
    <n v="31"/>
    <s v="Female"/>
    <s v="Respiratory"/>
    <s v="Orthopedics"/>
    <s v="Dr. Arun"/>
    <d v="2024-08-20T00:00:00"/>
    <d v="2024-09-07T00:00:00"/>
    <n v="130603"/>
    <s v="None"/>
    <x v="1"/>
    <s v="Hyderabad"/>
    <s v="Follow-up"/>
    <n v="1"/>
  </r>
  <r>
    <s v="P0832"/>
    <n v="35"/>
    <s v="Male"/>
    <s v="Orthopedic"/>
    <s v="Cardiology"/>
    <s v="Dr. Kumar"/>
    <d v="2025-06-10T00:00:00"/>
    <d v="2025-06-19T00:00:00"/>
    <n v="156978"/>
    <s v="Private"/>
    <x v="1"/>
    <s v="Chennai"/>
    <s v="Follow-up"/>
    <n v="4"/>
  </r>
  <r>
    <s v="P0833"/>
    <n v="75"/>
    <s v="Male"/>
    <s v="Infection"/>
    <s v="General Medicine"/>
    <s v="Dr. Kumar"/>
    <d v="2024-05-20T00:00:00"/>
    <d v="2024-05-21T00:00:00"/>
    <n v="236669"/>
    <s v="Private"/>
    <x v="1"/>
    <s v="Bangalore"/>
    <s v="Recovered"/>
    <n v="3"/>
  </r>
  <r>
    <s v="P0834"/>
    <n v="30"/>
    <s v="Male"/>
    <s v="Cardiac"/>
    <s v="Pulmonology"/>
    <s v="Dr. Arun"/>
    <d v="2025-08-02T00:00:00"/>
    <d v="2025-08-07T00:00:00"/>
    <n v="132765"/>
    <s v="None"/>
    <x v="3"/>
    <s v="Hyderabad"/>
    <s v="Recovered"/>
    <n v="2"/>
  </r>
  <r>
    <s v="P0835"/>
    <n v="64"/>
    <s v="Male"/>
    <s v="Cardiac"/>
    <s v="Neurology"/>
    <s v="Dr. Raj"/>
    <d v="2024-09-12T00:00:00"/>
    <d v="2024-09-30T00:00:00"/>
    <n v="224522"/>
    <s v="Government"/>
    <x v="2"/>
    <s v="Hyderabad"/>
    <s v="Follow-up"/>
    <n v="1"/>
  </r>
  <r>
    <s v="P0836"/>
    <n v="40"/>
    <s v="Female"/>
    <s v="Cardiac"/>
    <s v="Neurology"/>
    <s v="Dr. Priya"/>
    <d v="2025-05-12T00:00:00"/>
    <d v="2025-05-18T00:00:00"/>
    <n v="215143"/>
    <s v="Corporate"/>
    <x v="2"/>
    <s v="Madurai"/>
    <s v="Under Treatment"/>
    <n v="5"/>
  </r>
  <r>
    <s v="P0837"/>
    <n v="75"/>
    <s v="Female"/>
    <s v="Diabetes"/>
    <s v="Oncology"/>
    <s v="Dr. Priya"/>
    <d v="2025-11-24T00:00:00"/>
    <d v="2025-11-29T00:00:00"/>
    <n v="37684"/>
    <s v="Corporate"/>
    <x v="1"/>
    <s v="Madurai"/>
    <s v="Follow-up"/>
    <n v="3"/>
  </r>
  <r>
    <s v="P0838"/>
    <n v="54"/>
    <s v="Male"/>
    <s v="Cardiac"/>
    <s v="Cardiology"/>
    <s v="Dr. Kumar"/>
    <d v="2025-11-18T00:00:00"/>
    <d v="2025-12-03T00:00:00"/>
    <n v="51795"/>
    <s v="Corporate"/>
    <x v="1"/>
    <s v="Hyderabad"/>
    <s v="Recovered"/>
    <n v="1"/>
  </r>
  <r>
    <s v="P0839"/>
    <n v="78"/>
    <s v="Female"/>
    <s v="Diabetes"/>
    <s v="Orthopedics"/>
    <s v="Dr. Meena"/>
    <d v="2025-03-13T00:00:00"/>
    <d v="2025-03-20T00:00:00"/>
    <n v="190005"/>
    <s v="None"/>
    <x v="3"/>
    <s v="Madurai"/>
    <s v="Recovered"/>
    <n v="3"/>
  </r>
  <r>
    <s v="P0840"/>
    <n v="84"/>
    <s v="Female"/>
    <s v="Neurological"/>
    <s v="General Medicine"/>
    <s v="Dr. Arun"/>
    <d v="2025-04-23T00:00:00"/>
    <d v="2025-04-24T00:00:00"/>
    <n v="185148"/>
    <s v="Corporate"/>
    <x v="2"/>
    <s v="Hyderabad"/>
    <s v="Recovered"/>
    <n v="3"/>
  </r>
  <r>
    <s v="P0841"/>
    <n v="51"/>
    <s v="Male"/>
    <s v="Cardiac"/>
    <s v="Oncology"/>
    <s v="Dr. Meena"/>
    <d v="2024-10-28T00:00:00"/>
    <d v="2024-10-31T00:00:00"/>
    <n v="213659"/>
    <s v="None"/>
    <x v="1"/>
    <s v="Hyderabad"/>
    <s v="Under Treatment"/>
    <n v="5"/>
  </r>
  <r>
    <s v="P0842"/>
    <n v="74"/>
    <s v="Male"/>
    <s v="Respiratory"/>
    <s v="Neurology"/>
    <s v="Dr. Raj"/>
    <d v="2025-08-10T00:00:00"/>
    <d v="2025-08-19T00:00:00"/>
    <n v="42895"/>
    <s v="None"/>
    <x v="1"/>
    <s v="Hyderabad"/>
    <s v="Follow-up"/>
    <n v="5"/>
  </r>
  <r>
    <s v="P0843"/>
    <n v="59"/>
    <s v="Male"/>
    <s v="Cancer"/>
    <s v="Neurology"/>
    <s v="Dr. Meena"/>
    <d v="2025-10-18T00:00:00"/>
    <d v="2025-10-26T00:00:00"/>
    <n v="201112"/>
    <s v="Government"/>
    <x v="0"/>
    <s v="Madurai"/>
    <s v="Recovered"/>
    <n v="3"/>
  </r>
  <r>
    <s v="P0844"/>
    <n v="44"/>
    <s v="Female"/>
    <s v="Neurological"/>
    <s v="Oncology"/>
    <s v="Dr. Meena"/>
    <d v="2025-11-02T00:00:00"/>
    <d v="2025-11-10T00:00:00"/>
    <n v="211728"/>
    <s v="Government"/>
    <x v="1"/>
    <s v="Coimbatore"/>
    <s v="Recovered"/>
    <n v="4"/>
  </r>
  <r>
    <s v="P0845"/>
    <n v="85"/>
    <s v="Female"/>
    <s v="Cardiac"/>
    <s v="Neurology"/>
    <s v="Dr. Arun"/>
    <d v="2025-12-11T00:00:00"/>
    <d v="2025-12-14T00:00:00"/>
    <n v="41020"/>
    <s v="Private"/>
    <x v="2"/>
    <s v="Coimbatore"/>
    <s v="Recovered"/>
    <n v="2"/>
  </r>
  <r>
    <s v="P0846"/>
    <n v="36"/>
    <s v="Male"/>
    <s v="Orthopedic"/>
    <s v="Cardiology"/>
    <s v="Dr. Meena"/>
    <d v="2025-02-19T00:00:00"/>
    <d v="2025-03-03T00:00:00"/>
    <n v="199051"/>
    <s v="None"/>
    <x v="1"/>
    <s v="Chennai"/>
    <s v="Under Treatment"/>
    <n v="4"/>
  </r>
  <r>
    <s v="P0847"/>
    <n v="22"/>
    <s v="Female"/>
    <s v="Neurological"/>
    <s v="Neurology"/>
    <s v="Dr. Priya"/>
    <d v="2024-04-22T00:00:00"/>
    <d v="2024-04-28T00:00:00"/>
    <n v="192282"/>
    <s v="Government"/>
    <x v="1"/>
    <s v="Coimbatore"/>
    <s v="Under Treatment"/>
    <n v="5"/>
  </r>
  <r>
    <s v="P0848"/>
    <n v="19"/>
    <s v="Female"/>
    <s v="Diabetes"/>
    <s v="General Medicine"/>
    <s v="Dr. Meena"/>
    <d v="2025-05-30T00:00:00"/>
    <d v="2025-06-19T00:00:00"/>
    <n v="219494"/>
    <s v="Private"/>
    <x v="1"/>
    <s v="Chennai"/>
    <s v="Recovered"/>
    <n v="3"/>
  </r>
  <r>
    <s v="P0849"/>
    <n v="46"/>
    <s v="Female"/>
    <s v="Respiratory"/>
    <s v="General Medicine"/>
    <s v="Dr. Arun"/>
    <d v="2024-02-11T00:00:00"/>
    <d v="2024-02-13T00:00:00"/>
    <n v="174726"/>
    <s v="Government"/>
    <x v="0"/>
    <s v="Chennai"/>
    <s v="Recovered"/>
    <n v="4"/>
  </r>
  <r>
    <s v="P0850"/>
    <n v="47"/>
    <s v="Female"/>
    <s v="Neurological"/>
    <s v="Pulmonology"/>
    <s v="Dr. Arun"/>
    <d v="2025-03-29T00:00:00"/>
    <d v="2025-04-01T00:00:00"/>
    <n v="180698"/>
    <s v="Government"/>
    <x v="0"/>
    <s v="Madurai"/>
    <s v="Under Treatment"/>
    <n v="5"/>
  </r>
  <r>
    <s v="P0851"/>
    <n v="49"/>
    <s v="Female"/>
    <s v="Cancer"/>
    <s v="Orthopedics"/>
    <s v="Dr. Raj"/>
    <d v="2025-08-11T00:00:00"/>
    <d v="2025-08-17T00:00:00"/>
    <n v="8182"/>
    <s v="Private"/>
    <x v="0"/>
    <s v="Hyderabad"/>
    <s v="Recovered"/>
    <n v="4"/>
  </r>
  <r>
    <s v="P0852"/>
    <n v="57"/>
    <s v="Female"/>
    <s v="Neurological"/>
    <s v="Pulmonology"/>
    <s v="Dr. Kumar"/>
    <d v="2024-02-28T00:00:00"/>
    <d v="2024-03-18T00:00:00"/>
    <n v="190512"/>
    <s v="None"/>
    <x v="3"/>
    <s v="Madurai"/>
    <s v="Recovered"/>
    <n v="1"/>
  </r>
  <r>
    <s v="P0853"/>
    <n v="21"/>
    <s v="Male"/>
    <s v="Infection"/>
    <s v="Cardiology"/>
    <s v="Dr. Priya"/>
    <d v="2025-02-09T00:00:00"/>
    <d v="2025-02-10T00:00:00"/>
    <n v="234637"/>
    <s v="None"/>
    <x v="2"/>
    <s v="Coimbatore"/>
    <s v="Under Treatment"/>
    <n v="5"/>
  </r>
  <r>
    <s v="P0854"/>
    <n v="22"/>
    <s v="Female"/>
    <s v="Orthopedic"/>
    <s v="Pulmonology"/>
    <s v="Dr. Kumar"/>
    <d v="2025-07-22T00:00:00"/>
    <d v="2025-07-30T00:00:00"/>
    <n v="124402"/>
    <s v="Private"/>
    <x v="0"/>
    <s v="Hyderabad"/>
    <s v="Under Treatment"/>
    <n v="3"/>
  </r>
  <r>
    <s v="P0855"/>
    <n v="19"/>
    <s v="Male"/>
    <s v="Cardiac"/>
    <s v="General Medicine"/>
    <s v="Dr. Meena"/>
    <d v="2025-08-15T00:00:00"/>
    <d v="2025-08-20T00:00:00"/>
    <n v="123495"/>
    <s v="Private"/>
    <x v="0"/>
    <s v="Madurai"/>
    <s v="Under Treatment"/>
    <n v="5"/>
  </r>
  <r>
    <s v="P0856"/>
    <n v="64"/>
    <s v="Female"/>
    <s v="Orthopedic"/>
    <s v="Oncology"/>
    <s v="Dr. Priya"/>
    <d v="2025-09-22T00:00:00"/>
    <d v="2025-10-02T00:00:00"/>
    <n v="79830"/>
    <s v="Private"/>
    <x v="2"/>
    <s v="Hyderabad"/>
    <s v="Follow-up"/>
    <n v="4"/>
  </r>
  <r>
    <s v="P0857"/>
    <n v="21"/>
    <s v="Male"/>
    <s v="Infection"/>
    <s v="Orthopedics"/>
    <s v="Dr. Raj"/>
    <d v="2025-05-15T00:00:00"/>
    <d v="2025-06-03T00:00:00"/>
    <n v="172531"/>
    <s v="Corporate"/>
    <x v="0"/>
    <s v="Madurai"/>
    <s v="Recovered"/>
    <n v="4"/>
  </r>
  <r>
    <s v="P0858"/>
    <n v="78"/>
    <s v="Male"/>
    <s v="Cancer"/>
    <s v="Neurology"/>
    <s v="Dr. Kumar"/>
    <d v="2025-06-27T00:00:00"/>
    <d v="2025-07-05T00:00:00"/>
    <n v="82887"/>
    <s v="Private"/>
    <x v="2"/>
    <s v="Chennai"/>
    <s v="Follow-up"/>
    <n v="2"/>
  </r>
  <r>
    <s v="P0859"/>
    <n v="42"/>
    <s v="Male"/>
    <s v="Orthopedic"/>
    <s v="General Medicine"/>
    <s v="Dr. Priya"/>
    <d v="2025-09-13T00:00:00"/>
    <d v="2025-09-14T00:00:00"/>
    <n v="33821"/>
    <s v="Corporate"/>
    <x v="0"/>
    <s v="Madurai"/>
    <s v="Under Treatment"/>
    <n v="2"/>
  </r>
  <r>
    <s v="P0860"/>
    <n v="27"/>
    <s v="Female"/>
    <s v="Orthopedic"/>
    <s v="Orthopedics"/>
    <s v="Dr. Raj"/>
    <d v="2024-02-20T00:00:00"/>
    <d v="2024-02-22T00:00:00"/>
    <n v="156009"/>
    <s v="Government"/>
    <x v="2"/>
    <s v="Hyderabad"/>
    <s v="Follow-up"/>
    <n v="3"/>
  </r>
  <r>
    <s v="P0861"/>
    <n v="52"/>
    <s v="Male"/>
    <s v="Neurological"/>
    <s v="Pulmonology"/>
    <s v="Dr. Arun"/>
    <d v="2024-10-16T00:00:00"/>
    <d v="2024-10-24T00:00:00"/>
    <n v="160549"/>
    <s v="None"/>
    <x v="3"/>
    <s v="Bangalore"/>
    <s v="Under Treatment"/>
    <n v="5"/>
  </r>
  <r>
    <s v="P0862"/>
    <n v="68"/>
    <s v="Male"/>
    <s v="Orthopedic"/>
    <s v="General Medicine"/>
    <s v="Dr. Kumar"/>
    <d v="2024-10-13T00:00:00"/>
    <d v="2024-10-25T00:00:00"/>
    <n v="238333"/>
    <s v="None"/>
    <x v="0"/>
    <s v="Chennai"/>
    <s v="Recovered"/>
    <n v="3"/>
  </r>
  <r>
    <s v="P0863"/>
    <n v="26"/>
    <s v="Female"/>
    <s v="Orthopedic"/>
    <s v="Pulmonology"/>
    <s v="Dr. Raj"/>
    <d v="2024-07-26T00:00:00"/>
    <d v="2024-08-02T00:00:00"/>
    <n v="106863"/>
    <s v="Corporate"/>
    <x v="1"/>
    <s v="Coimbatore"/>
    <s v="Follow-up"/>
    <n v="2"/>
  </r>
  <r>
    <s v="P0864"/>
    <n v="67"/>
    <s v="Male"/>
    <s v="Diabetes"/>
    <s v="Pulmonology"/>
    <s v="Dr. Kumar"/>
    <d v="2025-01-05T00:00:00"/>
    <d v="2025-01-23T00:00:00"/>
    <n v="177833"/>
    <s v="None"/>
    <x v="0"/>
    <s v="Hyderabad"/>
    <s v="Under Treatment"/>
    <n v="1"/>
  </r>
  <r>
    <s v="P0865"/>
    <n v="41"/>
    <s v="Female"/>
    <s v="Cardiac"/>
    <s v="Pulmonology"/>
    <s v="Dr. Meena"/>
    <d v="2025-03-23T00:00:00"/>
    <d v="2025-03-25T00:00:00"/>
    <n v="171488"/>
    <s v="Government"/>
    <x v="3"/>
    <s v="Coimbatore"/>
    <s v="Recovered"/>
    <n v="2"/>
  </r>
  <r>
    <s v="P0866"/>
    <n v="29"/>
    <s v="Male"/>
    <s v="Respiratory"/>
    <s v="Orthopedics"/>
    <s v="Dr. Priya"/>
    <d v="2025-03-08T00:00:00"/>
    <d v="2025-03-23T00:00:00"/>
    <n v="175944"/>
    <s v="Corporate"/>
    <x v="3"/>
    <s v="Madurai"/>
    <s v="Follow-up"/>
    <n v="3"/>
  </r>
  <r>
    <s v="P0867"/>
    <n v="57"/>
    <s v="Female"/>
    <s v="Respiratory"/>
    <s v="General Medicine"/>
    <s v="Dr. Raj"/>
    <d v="2025-02-24T00:00:00"/>
    <d v="2025-03-15T00:00:00"/>
    <n v="194503"/>
    <s v="None"/>
    <x v="1"/>
    <s v="Bangalore"/>
    <s v="Follow-up"/>
    <n v="2"/>
  </r>
  <r>
    <s v="P0868"/>
    <n v="21"/>
    <s v="Female"/>
    <s v="Respiratory"/>
    <s v="Pulmonology"/>
    <s v="Dr. Meena"/>
    <d v="2024-06-28T00:00:00"/>
    <d v="2024-07-05T00:00:00"/>
    <n v="227134"/>
    <s v="Corporate"/>
    <x v="2"/>
    <s v="Coimbatore"/>
    <s v="Recovered"/>
    <n v="2"/>
  </r>
  <r>
    <s v="P0869"/>
    <n v="59"/>
    <s v="Female"/>
    <s v="Orthopedic"/>
    <s v="Pulmonology"/>
    <s v="Dr. Priya"/>
    <d v="2025-03-27T00:00:00"/>
    <d v="2025-04-04T00:00:00"/>
    <n v="243150"/>
    <s v="Government"/>
    <x v="2"/>
    <s v="Coimbatore"/>
    <s v="Under Treatment"/>
    <n v="2"/>
  </r>
  <r>
    <s v="P0870"/>
    <n v="74"/>
    <s v="Male"/>
    <s v="Orthopedic"/>
    <s v="Orthopedics"/>
    <s v="Dr. Raj"/>
    <d v="2024-12-04T00:00:00"/>
    <d v="2024-12-19T00:00:00"/>
    <n v="138136"/>
    <s v="Private"/>
    <x v="1"/>
    <s v="Hyderabad"/>
    <s v="Under Treatment"/>
    <n v="5"/>
  </r>
  <r>
    <s v="P0871"/>
    <n v="55"/>
    <s v="Male"/>
    <s v="Cancer"/>
    <s v="Cardiology"/>
    <s v="Dr. Arun"/>
    <d v="2024-02-13T00:00:00"/>
    <d v="2024-03-01T00:00:00"/>
    <n v="18091"/>
    <s v="Government"/>
    <x v="2"/>
    <s v="Coimbatore"/>
    <s v="Recovered"/>
    <n v="1"/>
  </r>
  <r>
    <s v="P0872"/>
    <n v="66"/>
    <s v="Female"/>
    <s v="Cancer"/>
    <s v="General Medicine"/>
    <s v="Dr. Raj"/>
    <d v="2024-09-06T00:00:00"/>
    <d v="2024-09-25T00:00:00"/>
    <n v="145740"/>
    <s v="Private"/>
    <x v="2"/>
    <s v="Bangalore"/>
    <s v="Recovered"/>
    <n v="2"/>
  </r>
  <r>
    <s v="P0873"/>
    <n v="48"/>
    <s v="Male"/>
    <s v="Orthopedic"/>
    <s v="General Medicine"/>
    <s v="Dr. Meena"/>
    <d v="2025-04-21T00:00:00"/>
    <d v="2025-05-01T00:00:00"/>
    <n v="30246"/>
    <s v="None"/>
    <x v="1"/>
    <s v="Bangalore"/>
    <s v="Follow-up"/>
    <n v="1"/>
  </r>
  <r>
    <s v="P0874"/>
    <n v="43"/>
    <s v="Female"/>
    <s v="Cardiac"/>
    <s v="Neurology"/>
    <s v="Dr. Meena"/>
    <d v="2025-09-28T00:00:00"/>
    <d v="2025-10-08T00:00:00"/>
    <n v="118023"/>
    <s v="None"/>
    <x v="1"/>
    <s v="Coimbatore"/>
    <s v="Under Treatment"/>
    <n v="2"/>
  </r>
  <r>
    <s v="P0875"/>
    <n v="47"/>
    <s v="Male"/>
    <s v="Diabetes"/>
    <s v="Pulmonology"/>
    <s v="Dr. Meena"/>
    <d v="2024-09-02T00:00:00"/>
    <d v="2024-09-14T00:00:00"/>
    <n v="132493"/>
    <s v="Private"/>
    <x v="1"/>
    <s v="Madurai"/>
    <s v="Follow-up"/>
    <n v="2"/>
  </r>
  <r>
    <s v="P0876"/>
    <n v="34"/>
    <s v="Male"/>
    <s v="Cancer"/>
    <s v="General Medicine"/>
    <s v="Dr. Priya"/>
    <d v="2024-04-19T00:00:00"/>
    <d v="2024-05-03T00:00:00"/>
    <n v="212652"/>
    <s v="Private"/>
    <x v="1"/>
    <s v="Madurai"/>
    <s v="Recovered"/>
    <n v="1"/>
  </r>
  <r>
    <s v="P0877"/>
    <n v="22"/>
    <s v="Male"/>
    <s v="Cancer"/>
    <s v="Oncology"/>
    <s v="Dr. Meena"/>
    <d v="2024-08-05T00:00:00"/>
    <d v="2024-08-22T00:00:00"/>
    <n v="231401"/>
    <s v="Government"/>
    <x v="3"/>
    <s v="Chennai"/>
    <s v="Under Treatment"/>
    <n v="3"/>
  </r>
  <r>
    <s v="P0878"/>
    <n v="65"/>
    <s v="Female"/>
    <s v="Orthopedic"/>
    <s v="General Medicine"/>
    <s v="Dr. Raj"/>
    <d v="2024-09-01T00:00:00"/>
    <d v="2024-09-16T00:00:00"/>
    <n v="125119"/>
    <s v="Private"/>
    <x v="3"/>
    <s v="Bangalore"/>
    <s v="Recovered"/>
    <n v="1"/>
  </r>
  <r>
    <s v="P0879"/>
    <n v="47"/>
    <s v="Female"/>
    <s v="Neurological"/>
    <s v="Orthopedics"/>
    <s v="Dr. Priya"/>
    <d v="2025-11-09T00:00:00"/>
    <d v="2025-11-19T00:00:00"/>
    <n v="9950"/>
    <s v="None"/>
    <x v="3"/>
    <s v="Madurai"/>
    <s v="Under Treatment"/>
    <n v="1"/>
  </r>
  <r>
    <s v="P0880"/>
    <n v="57"/>
    <s v="Male"/>
    <s v="Cancer"/>
    <s v="Cardiology"/>
    <s v="Dr. Arun"/>
    <d v="2025-07-29T00:00:00"/>
    <d v="2025-08-06T00:00:00"/>
    <n v="110479"/>
    <s v="Private"/>
    <x v="3"/>
    <s v="Chennai"/>
    <s v="Follow-up"/>
    <n v="3"/>
  </r>
  <r>
    <s v="P0881"/>
    <n v="55"/>
    <s v="Male"/>
    <s v="Cancer"/>
    <s v="Pulmonology"/>
    <s v="Dr. Kumar"/>
    <d v="2025-09-13T00:00:00"/>
    <d v="2025-09-27T00:00:00"/>
    <n v="210143"/>
    <s v="Private"/>
    <x v="0"/>
    <s v="Madurai"/>
    <s v="Recovered"/>
    <n v="5"/>
  </r>
  <r>
    <s v="P0882"/>
    <n v="26"/>
    <s v="Male"/>
    <s v="Orthopedic"/>
    <s v="Orthopedics"/>
    <s v="Dr. Arun"/>
    <d v="2024-04-20T00:00:00"/>
    <d v="2024-04-24T00:00:00"/>
    <n v="131355"/>
    <s v="Government"/>
    <x v="1"/>
    <s v="Hyderabad"/>
    <s v="Recovered"/>
    <n v="4"/>
  </r>
  <r>
    <s v="P0883"/>
    <n v="80"/>
    <s v="Male"/>
    <s v="Infection"/>
    <s v="Pulmonology"/>
    <s v="Dr. Raj"/>
    <d v="2025-01-25T00:00:00"/>
    <d v="2025-01-31T00:00:00"/>
    <n v="23683"/>
    <s v="Private"/>
    <x v="0"/>
    <s v="Bangalore"/>
    <s v="Recovered"/>
    <n v="2"/>
  </r>
  <r>
    <s v="P0884"/>
    <n v="25"/>
    <s v="Male"/>
    <s v="Neurological"/>
    <s v="Oncology"/>
    <s v="Dr. Priya"/>
    <d v="2024-07-01T00:00:00"/>
    <d v="2024-07-17T00:00:00"/>
    <n v="70828"/>
    <s v="Corporate"/>
    <x v="0"/>
    <s v="Coimbatore"/>
    <s v="Under Treatment"/>
    <n v="3"/>
  </r>
  <r>
    <s v="P0885"/>
    <n v="60"/>
    <s v="Female"/>
    <s v="Diabetes"/>
    <s v="Oncology"/>
    <s v="Dr. Arun"/>
    <d v="2025-10-16T00:00:00"/>
    <d v="2025-10-21T00:00:00"/>
    <n v="181026"/>
    <s v="Private"/>
    <x v="1"/>
    <s v="Hyderabad"/>
    <s v="Follow-up"/>
    <n v="4"/>
  </r>
  <r>
    <s v="P0886"/>
    <n v="69"/>
    <s v="Male"/>
    <s v="Cancer"/>
    <s v="Pulmonology"/>
    <s v="Dr. Raj"/>
    <d v="2025-06-30T00:00:00"/>
    <d v="2025-07-19T00:00:00"/>
    <n v="204923"/>
    <s v="Private"/>
    <x v="2"/>
    <s v="Madurai"/>
    <s v="Follow-up"/>
    <n v="2"/>
  </r>
  <r>
    <s v="P0887"/>
    <n v="43"/>
    <s v="Female"/>
    <s v="Cancer"/>
    <s v="Neurology"/>
    <s v="Dr. Meena"/>
    <d v="2025-12-11T00:00:00"/>
    <d v="2025-12-14T00:00:00"/>
    <n v="155261"/>
    <s v="Corporate"/>
    <x v="1"/>
    <s v="Madurai"/>
    <s v="Under Treatment"/>
    <n v="3"/>
  </r>
  <r>
    <s v="P0888"/>
    <n v="35"/>
    <s v="Male"/>
    <s v="Respiratory"/>
    <s v="Cardiology"/>
    <s v="Dr. Raj"/>
    <d v="2024-06-22T00:00:00"/>
    <d v="2024-07-04T00:00:00"/>
    <n v="101006"/>
    <s v="Corporate"/>
    <x v="1"/>
    <s v="Hyderabad"/>
    <s v="Follow-up"/>
    <n v="4"/>
  </r>
  <r>
    <s v="P0889"/>
    <n v="41"/>
    <s v="Male"/>
    <s v="Respiratory"/>
    <s v="Pulmonology"/>
    <s v="Dr. Kumar"/>
    <d v="2025-07-20T00:00:00"/>
    <d v="2025-07-21T00:00:00"/>
    <n v="113454"/>
    <s v="Corporate"/>
    <x v="0"/>
    <s v="Hyderabad"/>
    <s v="Recovered"/>
    <n v="1"/>
  </r>
  <r>
    <s v="P0890"/>
    <n v="60"/>
    <s v="Female"/>
    <s v="Infection"/>
    <s v="Oncology"/>
    <s v="Dr. Meena"/>
    <d v="2024-01-26T00:00:00"/>
    <d v="2024-02-07T00:00:00"/>
    <n v="29926"/>
    <s v="Corporate"/>
    <x v="1"/>
    <s v="Coimbatore"/>
    <s v="Follow-up"/>
    <n v="3"/>
  </r>
  <r>
    <s v="P0891"/>
    <n v="33"/>
    <s v="Female"/>
    <s v="Cardiac"/>
    <s v="Cardiology"/>
    <s v="Dr. Meena"/>
    <d v="2025-01-23T00:00:00"/>
    <d v="2025-01-31T00:00:00"/>
    <n v="192917"/>
    <s v="Private"/>
    <x v="0"/>
    <s v="Hyderabad"/>
    <s v="Recovered"/>
    <n v="1"/>
  </r>
  <r>
    <s v="P0892"/>
    <n v="29"/>
    <s v="Male"/>
    <s v="Neurological"/>
    <s v="Pulmonology"/>
    <s v="Dr. Kumar"/>
    <d v="2024-05-06T00:00:00"/>
    <d v="2024-05-12T00:00:00"/>
    <n v="233365"/>
    <s v="None"/>
    <x v="3"/>
    <s v="Coimbatore"/>
    <s v="Recovered"/>
    <n v="5"/>
  </r>
  <r>
    <s v="P0893"/>
    <n v="85"/>
    <s v="Female"/>
    <s v="Orthopedic"/>
    <s v="Oncology"/>
    <s v="Dr. Priya"/>
    <d v="2025-07-12T00:00:00"/>
    <d v="2025-07-29T00:00:00"/>
    <n v="108072"/>
    <s v="Government"/>
    <x v="2"/>
    <s v="Chennai"/>
    <s v="Recovered"/>
    <n v="3"/>
  </r>
  <r>
    <s v="P0894"/>
    <n v="73"/>
    <s v="Female"/>
    <s v="Orthopedic"/>
    <s v="Orthopedics"/>
    <s v="Dr. Priya"/>
    <d v="2025-04-10T00:00:00"/>
    <d v="2025-04-19T00:00:00"/>
    <n v="135010"/>
    <s v="Government"/>
    <x v="2"/>
    <s v="Bangalore"/>
    <s v="Under Treatment"/>
    <n v="5"/>
  </r>
  <r>
    <s v="P0895"/>
    <n v="61"/>
    <s v="Male"/>
    <s v="Neurological"/>
    <s v="General Medicine"/>
    <s v="Dr. Priya"/>
    <d v="2025-01-16T00:00:00"/>
    <d v="2025-01-29T00:00:00"/>
    <n v="153642"/>
    <s v="Corporate"/>
    <x v="3"/>
    <s v="Hyderabad"/>
    <s v="Under Treatment"/>
    <n v="3"/>
  </r>
  <r>
    <s v="P0896"/>
    <n v="28"/>
    <s v="Male"/>
    <s v="Respiratory"/>
    <s v="Oncology"/>
    <s v="Dr. Priya"/>
    <d v="2025-03-17T00:00:00"/>
    <d v="2025-03-26T00:00:00"/>
    <n v="56957"/>
    <s v="None"/>
    <x v="0"/>
    <s v="Hyderabad"/>
    <s v="Follow-up"/>
    <n v="5"/>
  </r>
  <r>
    <s v="P0897"/>
    <n v="20"/>
    <s v="Male"/>
    <s v="Infection"/>
    <s v="Orthopedics"/>
    <s v="Dr. Priya"/>
    <d v="2025-05-12T00:00:00"/>
    <d v="2025-05-16T00:00:00"/>
    <n v="15721"/>
    <s v="Corporate"/>
    <x v="3"/>
    <s v="Madurai"/>
    <s v="Follow-up"/>
    <n v="2"/>
  </r>
  <r>
    <s v="P0898"/>
    <n v="27"/>
    <s v="Female"/>
    <s v="Diabetes"/>
    <s v="Orthopedics"/>
    <s v="Dr. Arun"/>
    <d v="2025-05-04T00:00:00"/>
    <d v="2025-05-05T00:00:00"/>
    <n v="143864"/>
    <s v="Corporate"/>
    <x v="3"/>
    <s v="Coimbatore"/>
    <s v="Follow-up"/>
    <n v="5"/>
  </r>
  <r>
    <s v="P0899"/>
    <n v="35"/>
    <s v="Male"/>
    <s v="Orthopedic"/>
    <s v="Neurology"/>
    <s v="Dr. Kumar"/>
    <d v="2025-05-11T00:00:00"/>
    <d v="2025-05-27T00:00:00"/>
    <n v="200440"/>
    <s v="None"/>
    <x v="0"/>
    <s v="Hyderabad"/>
    <s v="Under Treatment"/>
    <n v="1"/>
  </r>
  <r>
    <s v="P0900"/>
    <n v="39"/>
    <s v="Male"/>
    <s v="Infection"/>
    <s v="Cardiology"/>
    <s v="Dr. Arun"/>
    <d v="2024-02-07T00:00:00"/>
    <d v="2024-02-24T00:00:00"/>
    <n v="249585"/>
    <s v="Corporate"/>
    <x v="2"/>
    <s v="Coimbatore"/>
    <s v="Follow-up"/>
    <n v="2"/>
  </r>
  <r>
    <s v="P0901"/>
    <n v="62"/>
    <s v="Female"/>
    <s v="Infection"/>
    <s v="Neurology"/>
    <s v="Dr. Arun"/>
    <d v="2024-04-30T00:00:00"/>
    <d v="2024-05-07T00:00:00"/>
    <n v="21257"/>
    <s v="None"/>
    <x v="0"/>
    <s v="Bangalore"/>
    <s v="Follow-up"/>
    <n v="1"/>
  </r>
  <r>
    <s v="P0902"/>
    <n v="84"/>
    <s v="Male"/>
    <s v="Infection"/>
    <s v="General Medicine"/>
    <s v="Dr. Raj"/>
    <d v="2025-03-07T00:00:00"/>
    <d v="2025-03-19T00:00:00"/>
    <n v="113228"/>
    <s v="None"/>
    <x v="0"/>
    <s v="Hyderabad"/>
    <s v="Under Treatment"/>
    <n v="3"/>
  </r>
  <r>
    <s v="P0903"/>
    <n v="38"/>
    <s v="Male"/>
    <s v="Cancer"/>
    <s v="Orthopedics"/>
    <s v="Dr. Priya"/>
    <d v="2024-11-27T00:00:00"/>
    <d v="2024-12-17T00:00:00"/>
    <n v="33579"/>
    <s v="None"/>
    <x v="0"/>
    <s v="Coimbatore"/>
    <s v="Under Treatment"/>
    <n v="4"/>
  </r>
  <r>
    <s v="P0904"/>
    <n v="25"/>
    <s v="Female"/>
    <s v="Neurological"/>
    <s v="Orthopedics"/>
    <s v="Dr. Arun"/>
    <d v="2024-05-15T00:00:00"/>
    <d v="2024-05-28T00:00:00"/>
    <n v="23032"/>
    <s v="Private"/>
    <x v="3"/>
    <s v="Madurai"/>
    <s v="Follow-up"/>
    <n v="1"/>
  </r>
  <r>
    <s v="P0905"/>
    <n v="77"/>
    <s v="Male"/>
    <s v="Neurological"/>
    <s v="General Medicine"/>
    <s v="Dr. Meena"/>
    <d v="2024-12-01T00:00:00"/>
    <d v="2024-12-20T00:00:00"/>
    <n v="49819"/>
    <s v="None"/>
    <x v="1"/>
    <s v="Bangalore"/>
    <s v="Under Treatment"/>
    <n v="2"/>
  </r>
  <r>
    <s v="P0906"/>
    <n v="58"/>
    <s v="Female"/>
    <s v="Cardiac"/>
    <s v="Pulmonology"/>
    <s v="Dr. Arun"/>
    <d v="2025-07-25T00:00:00"/>
    <d v="2025-07-31T00:00:00"/>
    <n v="67440"/>
    <s v="Government"/>
    <x v="3"/>
    <s v="Coimbatore"/>
    <s v="Recovered"/>
    <n v="1"/>
  </r>
  <r>
    <s v="P0907"/>
    <n v="21"/>
    <s v="Female"/>
    <s v="Respiratory"/>
    <s v="Neurology"/>
    <s v="Dr. Raj"/>
    <d v="2025-04-18T00:00:00"/>
    <d v="2025-05-01T00:00:00"/>
    <n v="191932"/>
    <s v="None"/>
    <x v="3"/>
    <s v="Bangalore"/>
    <s v="Follow-up"/>
    <n v="1"/>
  </r>
  <r>
    <s v="P0908"/>
    <n v="45"/>
    <s v="Male"/>
    <s v="Cardiac"/>
    <s v="General Medicine"/>
    <s v="Dr. Raj"/>
    <d v="2025-06-01T00:00:00"/>
    <d v="2025-06-04T00:00:00"/>
    <n v="47852"/>
    <s v="None"/>
    <x v="0"/>
    <s v="Madurai"/>
    <s v="Follow-up"/>
    <n v="3"/>
  </r>
  <r>
    <s v="P0909"/>
    <n v="57"/>
    <s v="Female"/>
    <s v="Respiratory"/>
    <s v="Cardiology"/>
    <s v="Dr. Priya"/>
    <d v="2025-02-26T00:00:00"/>
    <d v="2025-03-13T00:00:00"/>
    <n v="11754"/>
    <s v="Private"/>
    <x v="0"/>
    <s v="Madurai"/>
    <s v="Follow-up"/>
    <n v="1"/>
  </r>
  <r>
    <s v="P0910"/>
    <n v="55"/>
    <s v="Female"/>
    <s v="Orthopedic"/>
    <s v="General Medicine"/>
    <s v="Dr. Raj"/>
    <d v="2025-05-14T00:00:00"/>
    <d v="2025-06-02T00:00:00"/>
    <n v="120471"/>
    <s v="Government"/>
    <x v="1"/>
    <s v="Madurai"/>
    <s v="Under Treatment"/>
    <n v="4"/>
  </r>
  <r>
    <s v="P0911"/>
    <n v="77"/>
    <s v="Male"/>
    <s v="Respiratory"/>
    <s v="Pulmonology"/>
    <s v="Dr. Priya"/>
    <d v="2025-04-30T00:00:00"/>
    <d v="2025-05-01T00:00:00"/>
    <n v="183901"/>
    <s v="Government"/>
    <x v="2"/>
    <s v="Madurai"/>
    <s v="Follow-up"/>
    <n v="5"/>
  </r>
  <r>
    <s v="P0912"/>
    <n v="41"/>
    <s v="Female"/>
    <s v="Orthopedic"/>
    <s v="Oncology"/>
    <s v="Dr. Raj"/>
    <d v="2025-10-04T00:00:00"/>
    <d v="2025-10-20T00:00:00"/>
    <n v="234604"/>
    <s v="Corporate"/>
    <x v="0"/>
    <s v="Hyderabad"/>
    <s v="Recovered"/>
    <n v="3"/>
  </r>
  <r>
    <s v="P0913"/>
    <n v="65"/>
    <s v="Female"/>
    <s v="Cardiac"/>
    <s v="Neurology"/>
    <s v="Dr. Kumar"/>
    <d v="2024-12-17T00:00:00"/>
    <d v="2024-12-18T00:00:00"/>
    <n v="70669"/>
    <s v="Corporate"/>
    <x v="1"/>
    <s v="Chennai"/>
    <s v="Follow-up"/>
    <n v="5"/>
  </r>
  <r>
    <s v="P0914"/>
    <n v="67"/>
    <s v="Female"/>
    <s v="Cancer"/>
    <s v="Cardiology"/>
    <s v="Dr. Meena"/>
    <d v="2024-09-22T00:00:00"/>
    <d v="2024-10-01T00:00:00"/>
    <n v="228570"/>
    <s v="Government"/>
    <x v="0"/>
    <s v="Hyderabad"/>
    <s v="Recovered"/>
    <n v="5"/>
  </r>
  <r>
    <s v="P0915"/>
    <n v="44"/>
    <s v="Female"/>
    <s v="Diabetes"/>
    <s v="Pulmonology"/>
    <s v="Dr. Kumar"/>
    <d v="2024-04-13T00:00:00"/>
    <d v="2024-04-14T00:00:00"/>
    <n v="221700"/>
    <s v="Government"/>
    <x v="1"/>
    <s v="Madurai"/>
    <s v="Follow-up"/>
    <n v="3"/>
  </r>
  <r>
    <s v="P0916"/>
    <n v="38"/>
    <s v="Male"/>
    <s v="Respiratory"/>
    <s v="Pulmonology"/>
    <s v="Dr. Kumar"/>
    <d v="2025-09-02T00:00:00"/>
    <d v="2025-09-04T00:00:00"/>
    <n v="145616"/>
    <s v="Government"/>
    <x v="0"/>
    <s v="Coimbatore"/>
    <s v="Under Treatment"/>
    <n v="4"/>
  </r>
  <r>
    <s v="P0917"/>
    <n v="68"/>
    <s v="Male"/>
    <s v="Neurological"/>
    <s v="Orthopedics"/>
    <s v="Dr. Priya"/>
    <d v="2025-04-11T00:00:00"/>
    <d v="2025-04-17T00:00:00"/>
    <n v="246881"/>
    <s v="Corporate"/>
    <x v="3"/>
    <s v="Bangalore"/>
    <s v="Recovered"/>
    <n v="5"/>
  </r>
  <r>
    <s v="P0918"/>
    <n v="84"/>
    <s v="Female"/>
    <s v="Cardiac"/>
    <s v="General Medicine"/>
    <s v="Dr. Priya"/>
    <d v="2025-05-15T00:00:00"/>
    <d v="2025-06-04T00:00:00"/>
    <n v="249075"/>
    <s v="Corporate"/>
    <x v="1"/>
    <s v="Bangalore"/>
    <s v="Under Treatment"/>
    <n v="1"/>
  </r>
  <r>
    <s v="P0919"/>
    <n v="36"/>
    <s v="Male"/>
    <s v="Cancer"/>
    <s v="Pulmonology"/>
    <s v="Dr. Meena"/>
    <d v="2024-03-25T00:00:00"/>
    <d v="2024-04-11T00:00:00"/>
    <n v="10022"/>
    <s v="None"/>
    <x v="0"/>
    <s v="Coimbatore"/>
    <s v="Follow-up"/>
    <n v="2"/>
  </r>
  <r>
    <s v="P0920"/>
    <n v="62"/>
    <s v="Male"/>
    <s v="Cancer"/>
    <s v="Orthopedics"/>
    <s v="Dr. Raj"/>
    <d v="2024-02-05T00:00:00"/>
    <d v="2024-02-11T00:00:00"/>
    <n v="11410"/>
    <s v="Private"/>
    <x v="2"/>
    <s v="Coimbatore"/>
    <s v="Recovered"/>
    <n v="1"/>
  </r>
  <r>
    <s v="P0921"/>
    <n v="76"/>
    <s v="Female"/>
    <s v="Infection"/>
    <s v="Orthopedics"/>
    <s v="Dr. Kumar"/>
    <d v="2024-03-11T00:00:00"/>
    <d v="2024-03-21T00:00:00"/>
    <n v="18677"/>
    <s v="Private"/>
    <x v="1"/>
    <s v="Coimbatore"/>
    <s v="Under Treatment"/>
    <n v="2"/>
  </r>
  <r>
    <s v="P0922"/>
    <n v="85"/>
    <s v="Female"/>
    <s v="Orthopedic"/>
    <s v="Pulmonology"/>
    <s v="Dr. Raj"/>
    <d v="2024-02-22T00:00:00"/>
    <d v="2024-03-01T00:00:00"/>
    <n v="134686"/>
    <s v="None"/>
    <x v="1"/>
    <s v="Chennai"/>
    <s v="Follow-up"/>
    <n v="3"/>
  </r>
  <r>
    <s v="P0923"/>
    <n v="35"/>
    <s v="Male"/>
    <s v="Respiratory"/>
    <s v="Oncology"/>
    <s v="Dr. Kumar"/>
    <d v="2025-01-25T00:00:00"/>
    <d v="2025-02-11T00:00:00"/>
    <n v="165473"/>
    <s v="Corporate"/>
    <x v="0"/>
    <s v="Coimbatore"/>
    <s v="Under Treatment"/>
    <n v="2"/>
  </r>
  <r>
    <s v="P0924"/>
    <n v="82"/>
    <s v="Female"/>
    <s v="Neurological"/>
    <s v="Neurology"/>
    <s v="Dr. Arun"/>
    <d v="2025-03-24T00:00:00"/>
    <d v="2025-04-03T00:00:00"/>
    <n v="205524"/>
    <s v="Government"/>
    <x v="1"/>
    <s v="Chennai"/>
    <s v="Follow-up"/>
    <n v="3"/>
  </r>
  <r>
    <s v="P0925"/>
    <n v="28"/>
    <s v="Male"/>
    <s v="Respiratory"/>
    <s v="Pulmonology"/>
    <s v="Dr. Raj"/>
    <d v="2025-06-03T00:00:00"/>
    <d v="2025-06-20T00:00:00"/>
    <n v="199903"/>
    <s v="Corporate"/>
    <x v="2"/>
    <s v="Madurai"/>
    <s v="Recovered"/>
    <n v="2"/>
  </r>
  <r>
    <s v="P0926"/>
    <n v="63"/>
    <s v="Male"/>
    <s v="Infection"/>
    <s v="Orthopedics"/>
    <s v="Dr. Priya"/>
    <d v="2025-12-12T00:00:00"/>
    <d v="2025-12-17T00:00:00"/>
    <n v="193045"/>
    <s v="None"/>
    <x v="3"/>
    <s v="Madurai"/>
    <s v="Under Treatment"/>
    <n v="2"/>
  </r>
  <r>
    <s v="P0927"/>
    <n v="76"/>
    <s v="Female"/>
    <s v="Diabetes"/>
    <s v="Oncology"/>
    <s v="Dr. Meena"/>
    <d v="2024-09-14T00:00:00"/>
    <d v="2024-09-15T00:00:00"/>
    <n v="222310"/>
    <s v="Government"/>
    <x v="1"/>
    <s v="Madurai"/>
    <s v="Recovered"/>
    <n v="3"/>
  </r>
  <r>
    <s v="P0928"/>
    <n v="25"/>
    <s v="Female"/>
    <s v="Cardiac"/>
    <s v="Neurology"/>
    <s v="Dr. Arun"/>
    <d v="2025-06-05T00:00:00"/>
    <d v="2025-06-12T00:00:00"/>
    <n v="110949"/>
    <s v="Corporate"/>
    <x v="0"/>
    <s v="Chennai"/>
    <s v="Under Treatment"/>
    <n v="2"/>
  </r>
  <r>
    <s v="P0929"/>
    <n v="51"/>
    <s v="Male"/>
    <s v="Infection"/>
    <s v="General Medicine"/>
    <s v="Dr. Arun"/>
    <d v="2025-12-16T00:00:00"/>
    <d v="2025-12-28T00:00:00"/>
    <n v="137381"/>
    <s v="Corporate"/>
    <x v="2"/>
    <s v="Bangalore"/>
    <s v="Follow-up"/>
    <n v="1"/>
  </r>
  <r>
    <s v="P0930"/>
    <n v="33"/>
    <s v="Female"/>
    <s v="Cancer"/>
    <s v="Oncology"/>
    <s v="Dr. Priya"/>
    <d v="2024-12-16T00:00:00"/>
    <d v="2024-12-21T00:00:00"/>
    <n v="77776"/>
    <s v="Government"/>
    <x v="1"/>
    <s v="Coimbatore"/>
    <s v="Recovered"/>
    <n v="3"/>
  </r>
  <r>
    <s v="P0931"/>
    <n v="70"/>
    <s v="Male"/>
    <s v="Infection"/>
    <s v="Pulmonology"/>
    <s v="Dr. Arun"/>
    <d v="2025-03-06T00:00:00"/>
    <d v="2025-03-23T00:00:00"/>
    <n v="72404"/>
    <s v="None"/>
    <x v="2"/>
    <s v="Hyderabad"/>
    <s v="Recovered"/>
    <n v="4"/>
  </r>
  <r>
    <s v="P0932"/>
    <n v="50"/>
    <s v="Male"/>
    <s v="Infection"/>
    <s v="Pulmonology"/>
    <s v="Dr. Kumar"/>
    <d v="2025-08-17T00:00:00"/>
    <d v="2025-09-04T00:00:00"/>
    <n v="111062"/>
    <s v="Corporate"/>
    <x v="3"/>
    <s v="Coimbatore"/>
    <s v="Under Treatment"/>
    <n v="4"/>
  </r>
  <r>
    <s v="P0933"/>
    <n v="62"/>
    <s v="Female"/>
    <s v="Diabetes"/>
    <s v="Oncology"/>
    <s v="Dr. Kumar"/>
    <d v="2025-06-12T00:00:00"/>
    <d v="2025-06-29T00:00:00"/>
    <n v="84889"/>
    <s v="None"/>
    <x v="2"/>
    <s v="Coimbatore"/>
    <s v="Recovered"/>
    <n v="4"/>
  </r>
  <r>
    <s v="P0934"/>
    <n v="42"/>
    <s v="Male"/>
    <s v="Infection"/>
    <s v="Oncology"/>
    <s v="Dr. Meena"/>
    <d v="2024-02-21T00:00:00"/>
    <d v="2024-03-12T00:00:00"/>
    <n v="75298"/>
    <s v="None"/>
    <x v="3"/>
    <s v="Madurai"/>
    <s v="Recovered"/>
    <n v="4"/>
  </r>
  <r>
    <s v="P0935"/>
    <n v="46"/>
    <s v="Female"/>
    <s v="Orthopedic"/>
    <s v="General Medicine"/>
    <s v="Dr. Kumar"/>
    <d v="2024-03-05T00:00:00"/>
    <d v="2024-03-20T00:00:00"/>
    <n v="118806"/>
    <s v="Government"/>
    <x v="0"/>
    <s v="Hyderabad"/>
    <s v="Under Treatment"/>
    <n v="2"/>
  </r>
  <r>
    <s v="P0936"/>
    <n v="65"/>
    <s v="Female"/>
    <s v="Respiratory"/>
    <s v="Oncology"/>
    <s v="Dr. Priya"/>
    <d v="2024-11-01T00:00:00"/>
    <d v="2024-11-13T00:00:00"/>
    <n v="26793"/>
    <s v="Corporate"/>
    <x v="2"/>
    <s v="Chennai"/>
    <s v="Under Treatment"/>
    <n v="1"/>
  </r>
  <r>
    <s v="P0937"/>
    <n v="70"/>
    <s v="Female"/>
    <s v="Respiratory"/>
    <s v="Oncology"/>
    <s v="Dr. Raj"/>
    <d v="2024-03-15T00:00:00"/>
    <d v="2024-03-19T00:00:00"/>
    <n v="171835"/>
    <s v="Private"/>
    <x v="2"/>
    <s v="Coimbatore"/>
    <s v="Recovered"/>
    <n v="1"/>
  </r>
  <r>
    <s v="P0938"/>
    <n v="56"/>
    <s v="Female"/>
    <s v="Cancer"/>
    <s v="Neurology"/>
    <s v="Dr. Arun"/>
    <d v="2024-01-05T00:00:00"/>
    <d v="2024-01-09T00:00:00"/>
    <n v="159977"/>
    <s v="Corporate"/>
    <x v="0"/>
    <s v="Madurai"/>
    <s v="Follow-up"/>
    <n v="4"/>
  </r>
  <r>
    <s v="P0939"/>
    <n v="51"/>
    <s v="Male"/>
    <s v="Respiratory"/>
    <s v="Cardiology"/>
    <s v="Dr. Raj"/>
    <d v="2024-07-20T00:00:00"/>
    <d v="2024-08-08T00:00:00"/>
    <n v="93170"/>
    <s v="Private"/>
    <x v="2"/>
    <s v="Coimbatore"/>
    <s v="Recovered"/>
    <n v="3"/>
  </r>
  <r>
    <s v="P0940"/>
    <n v="22"/>
    <s v="Female"/>
    <s v="Infection"/>
    <s v="Cardiology"/>
    <s v="Dr. Arun"/>
    <d v="2025-10-04T00:00:00"/>
    <d v="2025-10-12T00:00:00"/>
    <n v="75084"/>
    <s v="Private"/>
    <x v="1"/>
    <s v="Bangalore"/>
    <s v="Follow-up"/>
    <n v="1"/>
  </r>
  <r>
    <s v="P0941"/>
    <n v="50"/>
    <s v="Female"/>
    <s v="Neurological"/>
    <s v="General Medicine"/>
    <s v="Dr. Raj"/>
    <d v="2024-06-29T00:00:00"/>
    <d v="2024-07-03T00:00:00"/>
    <n v="12555"/>
    <s v="None"/>
    <x v="2"/>
    <s v="Madurai"/>
    <s v="Under Treatment"/>
    <n v="5"/>
  </r>
  <r>
    <s v="P0942"/>
    <n v="24"/>
    <s v="Female"/>
    <s v="Respiratory"/>
    <s v="Cardiology"/>
    <s v="Dr. Kumar"/>
    <d v="2024-01-29T00:00:00"/>
    <d v="2024-01-31T00:00:00"/>
    <n v="72383"/>
    <s v="Private"/>
    <x v="3"/>
    <s v="Bangalore"/>
    <s v="Follow-up"/>
    <n v="1"/>
  </r>
  <r>
    <s v="P0943"/>
    <n v="55"/>
    <s v="Male"/>
    <s v="Neurological"/>
    <s v="Pulmonology"/>
    <s v="Dr. Raj"/>
    <d v="2025-11-27T00:00:00"/>
    <d v="2025-12-12T00:00:00"/>
    <n v="8533"/>
    <s v="Government"/>
    <x v="0"/>
    <s v="Hyderabad"/>
    <s v="Under Treatment"/>
    <n v="1"/>
  </r>
  <r>
    <s v="P0944"/>
    <n v="53"/>
    <s v="Female"/>
    <s v="Cancer"/>
    <s v="Pulmonology"/>
    <s v="Dr. Raj"/>
    <d v="2025-08-21T00:00:00"/>
    <d v="2025-08-25T00:00:00"/>
    <n v="244373"/>
    <s v="None"/>
    <x v="1"/>
    <s v="Chennai"/>
    <s v="Follow-up"/>
    <n v="3"/>
  </r>
  <r>
    <s v="P0945"/>
    <n v="66"/>
    <s v="Male"/>
    <s v="Neurological"/>
    <s v="Pulmonology"/>
    <s v="Dr. Arun"/>
    <d v="2025-10-11T00:00:00"/>
    <d v="2025-10-13T00:00:00"/>
    <n v="136688"/>
    <s v="Corporate"/>
    <x v="1"/>
    <s v="Hyderabad"/>
    <s v="Follow-up"/>
    <n v="4"/>
  </r>
  <r>
    <s v="P0946"/>
    <n v="35"/>
    <s v="Female"/>
    <s v="Orthopedic"/>
    <s v="General Medicine"/>
    <s v="Dr. Arun"/>
    <d v="2024-01-22T00:00:00"/>
    <d v="2024-01-23T00:00:00"/>
    <n v="121744"/>
    <s v="None"/>
    <x v="1"/>
    <s v="Madurai"/>
    <s v="Follow-up"/>
    <n v="5"/>
  </r>
  <r>
    <s v="P0947"/>
    <n v="62"/>
    <s v="Male"/>
    <s v="Diabetes"/>
    <s v="Pulmonology"/>
    <s v="Dr. Kumar"/>
    <d v="2024-07-19T00:00:00"/>
    <d v="2024-08-05T00:00:00"/>
    <n v="140093"/>
    <s v="Corporate"/>
    <x v="2"/>
    <s v="Bangalore"/>
    <s v="Follow-up"/>
    <n v="4"/>
  </r>
  <r>
    <s v="P0948"/>
    <n v="39"/>
    <s v="Female"/>
    <s v="Diabetes"/>
    <s v="Oncology"/>
    <s v="Dr. Meena"/>
    <d v="2024-02-22T00:00:00"/>
    <d v="2024-03-11T00:00:00"/>
    <n v="113001"/>
    <s v="Private"/>
    <x v="3"/>
    <s v="Madurai"/>
    <s v="Follow-up"/>
    <n v="2"/>
  </r>
  <r>
    <s v="P0949"/>
    <n v="22"/>
    <s v="Male"/>
    <s v="Diabetes"/>
    <s v="Neurology"/>
    <s v="Dr. Meena"/>
    <d v="2025-04-18T00:00:00"/>
    <d v="2025-04-24T00:00:00"/>
    <n v="204563"/>
    <s v="Corporate"/>
    <x v="3"/>
    <s v="Madurai"/>
    <s v="Follow-up"/>
    <n v="2"/>
  </r>
  <r>
    <s v="P0950"/>
    <n v="27"/>
    <s v="Female"/>
    <s v="Cardiac"/>
    <s v="General Medicine"/>
    <s v="Dr. Priya"/>
    <d v="2025-05-24T00:00:00"/>
    <d v="2025-06-02T00:00:00"/>
    <n v="110568"/>
    <s v="None"/>
    <x v="3"/>
    <s v="Coimbatore"/>
    <s v="Under Treatment"/>
    <n v="2"/>
  </r>
  <r>
    <s v="P0951"/>
    <n v="37"/>
    <s v="Male"/>
    <s v="Cardiac"/>
    <s v="Neurology"/>
    <s v="Dr. Arun"/>
    <d v="2025-04-26T00:00:00"/>
    <d v="2025-04-30T00:00:00"/>
    <n v="57819"/>
    <s v="Government"/>
    <x v="3"/>
    <s v="Coimbatore"/>
    <s v="Follow-up"/>
    <n v="4"/>
  </r>
  <r>
    <s v="P0952"/>
    <n v="45"/>
    <s v="Female"/>
    <s v="Respiratory"/>
    <s v="Cardiology"/>
    <s v="Dr. Kumar"/>
    <d v="2024-01-12T00:00:00"/>
    <d v="2024-01-23T00:00:00"/>
    <n v="232993"/>
    <s v="None"/>
    <x v="0"/>
    <s v="Bangalore"/>
    <s v="Follow-up"/>
    <n v="1"/>
  </r>
  <r>
    <s v="P0953"/>
    <n v="84"/>
    <s v="Female"/>
    <s v="Cancer"/>
    <s v="Orthopedics"/>
    <s v="Dr. Kumar"/>
    <d v="2025-08-13T00:00:00"/>
    <d v="2025-08-22T00:00:00"/>
    <n v="45533"/>
    <s v="Government"/>
    <x v="1"/>
    <s v="Coimbatore"/>
    <s v="Follow-up"/>
    <n v="5"/>
  </r>
  <r>
    <s v="P0954"/>
    <n v="45"/>
    <s v="Female"/>
    <s v="Neurological"/>
    <s v="Cardiology"/>
    <s v="Dr. Arun"/>
    <d v="2024-03-31T00:00:00"/>
    <d v="2024-04-05T00:00:00"/>
    <n v="206192"/>
    <s v="None"/>
    <x v="3"/>
    <s v="Chennai"/>
    <s v="Follow-up"/>
    <n v="3"/>
  </r>
  <r>
    <s v="P0955"/>
    <n v="35"/>
    <s v="Female"/>
    <s v="Neurological"/>
    <s v="Cardiology"/>
    <s v="Dr. Arun"/>
    <d v="2024-11-11T00:00:00"/>
    <d v="2024-11-30T00:00:00"/>
    <n v="72964"/>
    <s v="Government"/>
    <x v="1"/>
    <s v="Madurai"/>
    <s v="Under Treatment"/>
    <n v="4"/>
  </r>
  <r>
    <s v="P0956"/>
    <n v="43"/>
    <s v="Male"/>
    <s v="Cardiac"/>
    <s v="Neurology"/>
    <s v="Dr. Priya"/>
    <d v="2024-01-16T00:00:00"/>
    <d v="2024-01-26T00:00:00"/>
    <n v="176705"/>
    <s v="Private"/>
    <x v="3"/>
    <s v="Coimbatore"/>
    <s v="Under Treatment"/>
    <n v="2"/>
  </r>
  <r>
    <s v="P0957"/>
    <n v="28"/>
    <s v="Male"/>
    <s v="Respiratory"/>
    <s v="Pulmonology"/>
    <s v="Dr. Meena"/>
    <d v="2024-01-06T00:00:00"/>
    <d v="2024-01-22T00:00:00"/>
    <n v="109480"/>
    <s v="None"/>
    <x v="3"/>
    <s v="Bangalore"/>
    <s v="Under Treatment"/>
    <n v="3"/>
  </r>
  <r>
    <s v="P0958"/>
    <n v="84"/>
    <s v="Male"/>
    <s v="Orthopedic"/>
    <s v="Orthopedics"/>
    <s v="Dr. Priya"/>
    <d v="2025-07-23T00:00:00"/>
    <d v="2025-07-30T00:00:00"/>
    <n v="5409"/>
    <s v="Government"/>
    <x v="3"/>
    <s v="Hyderabad"/>
    <s v="Under Treatment"/>
    <n v="4"/>
  </r>
  <r>
    <s v="P0959"/>
    <n v="47"/>
    <s v="Female"/>
    <s v="Diabetes"/>
    <s v="Neurology"/>
    <s v="Dr. Arun"/>
    <d v="2024-08-12T00:00:00"/>
    <d v="2024-08-28T00:00:00"/>
    <n v="15511"/>
    <s v="None"/>
    <x v="1"/>
    <s v="Bangalore"/>
    <s v="Follow-up"/>
    <n v="3"/>
  </r>
  <r>
    <s v="P0960"/>
    <n v="68"/>
    <s v="Male"/>
    <s v="Cardiac"/>
    <s v="Oncology"/>
    <s v="Dr. Raj"/>
    <d v="2024-01-11T00:00:00"/>
    <d v="2024-01-27T00:00:00"/>
    <n v="237353"/>
    <s v="Government"/>
    <x v="2"/>
    <s v="Chennai"/>
    <s v="Recovered"/>
    <n v="3"/>
  </r>
  <r>
    <s v="P0961"/>
    <n v="81"/>
    <s v="Female"/>
    <s v="Orthopedic"/>
    <s v="Neurology"/>
    <s v="Dr. Meena"/>
    <d v="2025-11-06T00:00:00"/>
    <d v="2025-11-17T00:00:00"/>
    <n v="76737"/>
    <s v="None"/>
    <x v="1"/>
    <s v="Hyderabad"/>
    <s v="Recovered"/>
    <n v="4"/>
  </r>
  <r>
    <s v="P0962"/>
    <n v="80"/>
    <s v="Female"/>
    <s v="Orthopedic"/>
    <s v="Oncology"/>
    <s v="Dr. Priya"/>
    <d v="2025-04-25T00:00:00"/>
    <d v="2025-05-05T00:00:00"/>
    <n v="185394"/>
    <s v="Government"/>
    <x v="0"/>
    <s v="Bangalore"/>
    <s v="Recovered"/>
    <n v="3"/>
  </r>
  <r>
    <s v="P0963"/>
    <n v="30"/>
    <s v="Male"/>
    <s v="Respiratory"/>
    <s v="Orthopedics"/>
    <s v="Dr. Priya"/>
    <d v="2024-09-15T00:00:00"/>
    <d v="2024-09-29T00:00:00"/>
    <n v="62058"/>
    <s v="Private"/>
    <x v="2"/>
    <s v="Coimbatore"/>
    <s v="Follow-up"/>
    <n v="1"/>
  </r>
  <r>
    <s v="P0964"/>
    <n v="49"/>
    <s v="Male"/>
    <s v="Respiratory"/>
    <s v="Cardiology"/>
    <s v="Dr. Raj"/>
    <d v="2025-03-17T00:00:00"/>
    <d v="2025-04-04T00:00:00"/>
    <n v="57197"/>
    <s v="Private"/>
    <x v="2"/>
    <s v="Hyderabad"/>
    <s v="Recovered"/>
    <n v="5"/>
  </r>
  <r>
    <s v="P0965"/>
    <n v="51"/>
    <s v="Female"/>
    <s v="Neurological"/>
    <s v="Oncology"/>
    <s v="Dr. Kumar"/>
    <d v="2025-04-08T00:00:00"/>
    <d v="2025-04-12T00:00:00"/>
    <n v="229178"/>
    <s v="None"/>
    <x v="0"/>
    <s v="Madurai"/>
    <s v="Follow-up"/>
    <n v="1"/>
  </r>
  <r>
    <s v="P0966"/>
    <n v="57"/>
    <s v="Female"/>
    <s v="Cancer"/>
    <s v="Pulmonology"/>
    <s v="Dr. Meena"/>
    <d v="2024-06-24T00:00:00"/>
    <d v="2024-07-05T00:00:00"/>
    <n v="24367"/>
    <s v="Corporate"/>
    <x v="3"/>
    <s v="Bangalore"/>
    <s v="Under Treatment"/>
    <n v="4"/>
  </r>
  <r>
    <s v="P0967"/>
    <n v="18"/>
    <s v="Female"/>
    <s v="Cancer"/>
    <s v="Orthopedics"/>
    <s v="Dr. Kumar"/>
    <d v="2025-11-30T00:00:00"/>
    <d v="2025-12-05T00:00:00"/>
    <n v="221049"/>
    <s v="None"/>
    <x v="1"/>
    <s v="Bangalore"/>
    <s v="Follow-up"/>
    <n v="2"/>
  </r>
  <r>
    <s v="P0968"/>
    <n v="46"/>
    <s v="Male"/>
    <s v="Diabetes"/>
    <s v="Orthopedics"/>
    <s v="Dr. Kumar"/>
    <d v="2024-11-05T00:00:00"/>
    <d v="2024-11-24T00:00:00"/>
    <n v="32238"/>
    <s v="Government"/>
    <x v="2"/>
    <s v="Bangalore"/>
    <s v="Recovered"/>
    <n v="2"/>
  </r>
  <r>
    <s v="P0969"/>
    <n v="37"/>
    <s v="Male"/>
    <s v="Neurological"/>
    <s v="General Medicine"/>
    <s v="Dr. Raj"/>
    <d v="2025-04-18T00:00:00"/>
    <d v="2025-04-29T00:00:00"/>
    <n v="169064"/>
    <s v="None"/>
    <x v="0"/>
    <s v="Bangalore"/>
    <s v="Recovered"/>
    <n v="1"/>
  </r>
  <r>
    <s v="P0970"/>
    <n v="71"/>
    <s v="Male"/>
    <s v="Diabetes"/>
    <s v="Orthopedics"/>
    <s v="Dr. Priya"/>
    <d v="2025-12-01T00:00:00"/>
    <d v="2025-12-10T00:00:00"/>
    <n v="194536"/>
    <s v="Corporate"/>
    <x v="3"/>
    <s v="Chennai"/>
    <s v="Under Treatment"/>
    <n v="3"/>
  </r>
  <r>
    <s v="P0971"/>
    <n v="73"/>
    <s v="Female"/>
    <s v="Infection"/>
    <s v="Oncology"/>
    <s v="Dr. Priya"/>
    <d v="2025-06-26T00:00:00"/>
    <d v="2025-07-13T00:00:00"/>
    <n v="6542"/>
    <s v="Corporate"/>
    <x v="3"/>
    <s v="Hyderabad"/>
    <s v="Under Treatment"/>
    <n v="1"/>
  </r>
  <r>
    <s v="P0972"/>
    <n v="81"/>
    <s v="Male"/>
    <s v="Cardiac"/>
    <s v="Orthopedics"/>
    <s v="Dr. Meena"/>
    <d v="2025-11-16T00:00:00"/>
    <d v="2025-11-22T00:00:00"/>
    <n v="121864"/>
    <s v="Government"/>
    <x v="1"/>
    <s v="Hyderabad"/>
    <s v="Follow-up"/>
    <n v="3"/>
  </r>
  <r>
    <s v="P0973"/>
    <n v="76"/>
    <s v="Female"/>
    <s v="Respiratory"/>
    <s v="Pulmonology"/>
    <s v="Dr. Kumar"/>
    <d v="2024-06-05T00:00:00"/>
    <d v="2024-06-18T00:00:00"/>
    <n v="128447"/>
    <s v="None"/>
    <x v="0"/>
    <s v="Hyderabad"/>
    <s v="Follow-up"/>
    <n v="2"/>
  </r>
  <r>
    <s v="P0974"/>
    <n v="49"/>
    <s v="Male"/>
    <s v="Respiratory"/>
    <s v="Orthopedics"/>
    <s v="Dr. Kumar"/>
    <d v="2024-09-21T00:00:00"/>
    <d v="2024-10-03T00:00:00"/>
    <n v="66051"/>
    <s v="None"/>
    <x v="3"/>
    <s v="Madurai"/>
    <s v="Recovered"/>
    <n v="5"/>
  </r>
  <r>
    <s v="P0975"/>
    <n v="37"/>
    <s v="Female"/>
    <s v="Cardiac"/>
    <s v="Oncology"/>
    <s v="Dr. Kumar"/>
    <d v="2025-03-08T00:00:00"/>
    <d v="2025-03-17T00:00:00"/>
    <n v="9381"/>
    <s v="None"/>
    <x v="2"/>
    <s v="Madurai"/>
    <s v="Recovered"/>
    <n v="5"/>
  </r>
  <r>
    <s v="P0976"/>
    <n v="44"/>
    <s v="Male"/>
    <s v="Orthopedic"/>
    <s v="Cardiology"/>
    <s v="Dr. Priya"/>
    <d v="2025-07-21T00:00:00"/>
    <d v="2025-08-04T00:00:00"/>
    <n v="40202"/>
    <s v="None"/>
    <x v="1"/>
    <s v="Madurai"/>
    <s v="Under Treatment"/>
    <n v="2"/>
  </r>
  <r>
    <s v="P0977"/>
    <n v="74"/>
    <s v="Female"/>
    <s v="Orthopedic"/>
    <s v="General Medicine"/>
    <s v="Dr. Raj"/>
    <d v="2025-09-03T00:00:00"/>
    <d v="2025-09-20T00:00:00"/>
    <n v="206561"/>
    <s v="Private"/>
    <x v="2"/>
    <s v="Coimbatore"/>
    <s v="Follow-up"/>
    <n v="5"/>
  </r>
  <r>
    <s v="P0978"/>
    <n v="59"/>
    <s v="Female"/>
    <s v="Diabetes"/>
    <s v="General Medicine"/>
    <s v="Dr. Raj"/>
    <d v="2025-05-18T00:00:00"/>
    <d v="2025-05-29T00:00:00"/>
    <n v="59281"/>
    <s v="Private"/>
    <x v="1"/>
    <s v="Bangalore"/>
    <s v="Recovered"/>
    <n v="4"/>
  </r>
  <r>
    <s v="P0979"/>
    <n v="43"/>
    <s v="Female"/>
    <s v="Cardiac"/>
    <s v="Neurology"/>
    <s v="Dr. Priya"/>
    <d v="2024-12-17T00:00:00"/>
    <d v="2024-12-22T00:00:00"/>
    <n v="205807"/>
    <s v="Government"/>
    <x v="1"/>
    <s v="Bangalore"/>
    <s v="Recovered"/>
    <n v="5"/>
  </r>
  <r>
    <s v="P0980"/>
    <n v="66"/>
    <s v="Female"/>
    <s v="Cancer"/>
    <s v="Orthopedics"/>
    <s v="Dr. Meena"/>
    <d v="2024-04-14T00:00:00"/>
    <d v="2024-04-26T00:00:00"/>
    <n v="190766"/>
    <s v="Private"/>
    <x v="2"/>
    <s v="Coimbatore"/>
    <s v="Follow-up"/>
    <n v="1"/>
  </r>
  <r>
    <s v="P0981"/>
    <n v="63"/>
    <s v="Male"/>
    <s v="Diabetes"/>
    <s v="General Medicine"/>
    <s v="Dr. Priya"/>
    <d v="2024-06-08T00:00:00"/>
    <d v="2024-06-14T00:00:00"/>
    <n v="93247"/>
    <s v="Government"/>
    <x v="1"/>
    <s v="Madurai"/>
    <s v="Follow-up"/>
    <n v="3"/>
  </r>
  <r>
    <s v="P0982"/>
    <n v="39"/>
    <s v="Female"/>
    <s v="Orthopedic"/>
    <s v="Neurology"/>
    <s v="Dr. Priya"/>
    <d v="2025-08-17T00:00:00"/>
    <d v="2025-08-21T00:00:00"/>
    <n v="91904"/>
    <s v="Corporate"/>
    <x v="0"/>
    <s v="Madurai"/>
    <s v="Under Treatment"/>
    <n v="2"/>
  </r>
  <r>
    <s v="P0983"/>
    <n v="78"/>
    <s v="Female"/>
    <s v="Orthopedic"/>
    <s v="Orthopedics"/>
    <s v="Dr. Arun"/>
    <d v="2024-10-14T00:00:00"/>
    <d v="2024-10-26T00:00:00"/>
    <n v="221317"/>
    <s v="Corporate"/>
    <x v="1"/>
    <s v="Coimbatore"/>
    <s v="Follow-up"/>
    <n v="3"/>
  </r>
  <r>
    <s v="P0984"/>
    <n v="52"/>
    <s v="Female"/>
    <s v="Orthopedic"/>
    <s v="Neurology"/>
    <s v="Dr. Meena"/>
    <d v="2024-11-18T00:00:00"/>
    <d v="2024-11-23T00:00:00"/>
    <n v="89222"/>
    <s v="Government"/>
    <x v="1"/>
    <s v="Hyderabad"/>
    <s v="Recovered"/>
    <n v="5"/>
  </r>
  <r>
    <s v="P0985"/>
    <n v="83"/>
    <s v="Female"/>
    <s v="Respiratory"/>
    <s v="General Medicine"/>
    <s v="Dr. Arun"/>
    <d v="2025-04-30T00:00:00"/>
    <d v="2025-05-09T00:00:00"/>
    <n v="73182"/>
    <s v="Government"/>
    <x v="0"/>
    <s v="Coimbatore"/>
    <s v="Under Treatment"/>
    <n v="5"/>
  </r>
  <r>
    <s v="P0986"/>
    <n v="54"/>
    <s v="Male"/>
    <s v="Cardiac"/>
    <s v="Pulmonology"/>
    <s v="Dr. Kumar"/>
    <d v="2024-12-11T00:00:00"/>
    <d v="2024-12-23T00:00:00"/>
    <n v="229679"/>
    <s v="Corporate"/>
    <x v="0"/>
    <s v="Bangalore"/>
    <s v="Recovered"/>
    <n v="5"/>
  </r>
  <r>
    <s v="P0987"/>
    <n v="62"/>
    <s v="Female"/>
    <s v="Cardiac"/>
    <s v="Neurology"/>
    <s v="Dr. Kumar"/>
    <d v="2024-10-24T00:00:00"/>
    <d v="2024-11-07T00:00:00"/>
    <n v="188168"/>
    <s v="Government"/>
    <x v="0"/>
    <s v="Coimbatore"/>
    <s v="Recovered"/>
    <n v="3"/>
  </r>
  <r>
    <s v="P0988"/>
    <n v="36"/>
    <s v="Female"/>
    <s v="Infection"/>
    <s v="Oncology"/>
    <s v="Dr. Meena"/>
    <d v="2025-03-27T00:00:00"/>
    <d v="2025-03-30T00:00:00"/>
    <n v="17151"/>
    <s v="Corporate"/>
    <x v="1"/>
    <s v="Chennai"/>
    <s v="Under Treatment"/>
    <n v="1"/>
  </r>
  <r>
    <s v="P0989"/>
    <n v="81"/>
    <s v="Female"/>
    <s v="Infection"/>
    <s v="Neurology"/>
    <s v="Dr. Arun"/>
    <d v="2025-07-09T00:00:00"/>
    <d v="2025-07-10T00:00:00"/>
    <n v="236780"/>
    <s v="None"/>
    <x v="3"/>
    <s v="Hyderabad"/>
    <s v="Follow-up"/>
    <n v="2"/>
  </r>
  <r>
    <s v="P0990"/>
    <n v="57"/>
    <s v="Female"/>
    <s v="Cancer"/>
    <s v="Orthopedics"/>
    <s v="Dr. Meena"/>
    <d v="2025-12-14T00:00:00"/>
    <d v="2025-12-18T00:00:00"/>
    <n v="20827"/>
    <s v="Government"/>
    <x v="2"/>
    <s v="Madurai"/>
    <s v="Under Treatment"/>
    <n v="3"/>
  </r>
  <r>
    <s v="P0991"/>
    <n v="75"/>
    <s v="Male"/>
    <s v="Respiratory"/>
    <s v="Neurology"/>
    <s v="Dr. Priya"/>
    <d v="2024-03-07T00:00:00"/>
    <d v="2024-03-13T00:00:00"/>
    <n v="10154"/>
    <s v="None"/>
    <x v="3"/>
    <s v="Bangalore"/>
    <s v="Recovered"/>
    <n v="2"/>
  </r>
  <r>
    <s v="P0992"/>
    <n v="63"/>
    <s v="Male"/>
    <s v="Respiratory"/>
    <s v="General Medicine"/>
    <s v="Dr. Kumar"/>
    <d v="2025-06-24T00:00:00"/>
    <d v="2025-07-06T00:00:00"/>
    <n v="121530"/>
    <s v="None"/>
    <x v="2"/>
    <s v="Hyderabad"/>
    <s v="Follow-up"/>
    <n v="1"/>
  </r>
  <r>
    <s v="P0993"/>
    <n v="49"/>
    <s v="Male"/>
    <s v="Orthopedic"/>
    <s v="Cardiology"/>
    <s v="Dr. Priya"/>
    <d v="2025-01-05T00:00:00"/>
    <d v="2025-01-09T00:00:00"/>
    <n v="58437"/>
    <s v="Government"/>
    <x v="0"/>
    <s v="Chennai"/>
    <s v="Under Treatment"/>
    <n v="3"/>
  </r>
  <r>
    <s v="P0994"/>
    <n v="78"/>
    <s v="Female"/>
    <s v="Cardiac"/>
    <s v="Neurology"/>
    <s v="Dr. Meena"/>
    <d v="2024-08-01T00:00:00"/>
    <d v="2024-08-09T00:00:00"/>
    <n v="120656"/>
    <s v="Private"/>
    <x v="0"/>
    <s v="Hyderabad"/>
    <s v="Under Treatment"/>
    <n v="2"/>
  </r>
  <r>
    <s v="P0995"/>
    <n v="25"/>
    <s v="Male"/>
    <s v="Neurological"/>
    <s v="Orthopedics"/>
    <s v="Dr. Kumar"/>
    <d v="2024-05-06T00:00:00"/>
    <d v="2024-05-20T00:00:00"/>
    <n v="119204"/>
    <s v="None"/>
    <x v="0"/>
    <s v="Madurai"/>
    <s v="Follow-up"/>
    <n v="1"/>
  </r>
  <r>
    <s v="P0996"/>
    <n v="57"/>
    <s v="Female"/>
    <s v="Infection"/>
    <s v="General Medicine"/>
    <s v="Dr. Raj"/>
    <d v="2025-03-29T00:00:00"/>
    <d v="2025-04-02T00:00:00"/>
    <n v="242736"/>
    <s v="Corporate"/>
    <x v="0"/>
    <s v="Hyderabad"/>
    <s v="Follow-up"/>
    <n v="4"/>
  </r>
  <r>
    <s v="P0997"/>
    <n v="64"/>
    <s v="Male"/>
    <s v="Orthopedic"/>
    <s v="Neurology"/>
    <s v="Dr. Meena"/>
    <d v="2024-04-01T00:00:00"/>
    <d v="2024-04-16T00:00:00"/>
    <n v="159821"/>
    <s v="Corporate"/>
    <x v="0"/>
    <s v="Chennai"/>
    <s v="Under Treatment"/>
    <n v="5"/>
  </r>
  <r>
    <s v="P0998"/>
    <n v="23"/>
    <s v="Male"/>
    <s v="Infection"/>
    <s v="Neurology"/>
    <s v="Dr. Meena"/>
    <d v="2025-06-30T00:00:00"/>
    <d v="2025-07-05T00:00:00"/>
    <n v="233374"/>
    <s v="Private"/>
    <x v="1"/>
    <s v="Bangalore"/>
    <s v="Under Treatment"/>
    <n v="3"/>
  </r>
  <r>
    <s v="P0999"/>
    <n v="19"/>
    <s v="Male"/>
    <s v="Cancer"/>
    <s v="Oncology"/>
    <s v="Dr. Raj"/>
    <d v="2025-12-05T00:00:00"/>
    <d v="2025-12-15T00:00:00"/>
    <n v="177715"/>
    <s v="Private"/>
    <x v="0"/>
    <s v="Coimbatore"/>
    <s v="Under Treatment"/>
    <n v="2"/>
  </r>
  <r>
    <s v="P1000"/>
    <n v="80"/>
    <s v="Male"/>
    <s v="Infection"/>
    <s v="Oncology"/>
    <s v="Dr. Meena"/>
    <d v="2025-04-20T00:00:00"/>
    <d v="2025-04-24T00:00:00"/>
    <n v="93407"/>
    <s v="Corporate"/>
    <x v="1"/>
    <s v="Madurai"/>
    <s v="Under Treatment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01"/>
    <n v="62"/>
    <s v="Male"/>
    <s v="Cardiac"/>
    <s v="Oncology"/>
    <s v="Dr. Kumar"/>
    <d v="2024-04-27T00:00:00"/>
    <d v="2024-05-01T00:00:00"/>
    <n v="241427"/>
    <s v="Corporate"/>
    <s v="Card"/>
    <x v="0"/>
    <s v="Recovered"/>
    <n v="5"/>
  </r>
  <r>
    <s v="P0002"/>
    <n v="76"/>
    <s v="Female"/>
    <s v="Neurological"/>
    <s v="Cardiology"/>
    <s v="Dr. Arun"/>
    <d v="2025-09-17T00:00:00"/>
    <d v="2025-09-26T00:00:00"/>
    <n v="181509"/>
    <s v="None"/>
    <s v="Insurance Claim"/>
    <x v="0"/>
    <s v="Recovered"/>
    <n v="3"/>
  </r>
  <r>
    <s v="P0003"/>
    <n v="42"/>
    <s v="Male"/>
    <s v="Diabetes"/>
    <s v="Pulmonology"/>
    <s v="Dr. Kumar"/>
    <d v="2025-12-25T00:00:00"/>
    <d v="2025-12-31T00:00:00"/>
    <n v="197135"/>
    <s v="Corporate"/>
    <s v="Insurance Claim"/>
    <x v="1"/>
    <s v="Recovered"/>
    <n v="1"/>
  </r>
  <r>
    <s v="P0004"/>
    <n v="54"/>
    <s v="Female"/>
    <s v="Diabetes"/>
    <s v="General Medicine"/>
    <s v="Dr. Raj"/>
    <d v="2025-02-13T00:00:00"/>
    <d v="2025-02-23T00:00:00"/>
    <n v="214468"/>
    <s v="Government"/>
    <s v="Card"/>
    <x v="1"/>
    <s v="Follow-up"/>
    <n v="3"/>
  </r>
  <r>
    <s v="P0005"/>
    <n v="74"/>
    <s v="Male"/>
    <s v="Cardiac"/>
    <s v="Orthopedics"/>
    <s v="Dr. Meena"/>
    <d v="2024-01-03T00:00:00"/>
    <d v="2024-01-18T00:00:00"/>
    <n v="158741"/>
    <s v="None"/>
    <s v="UPI"/>
    <x v="2"/>
    <s v="Recovered"/>
    <n v="5"/>
  </r>
  <r>
    <s v="P0006"/>
    <n v="53"/>
    <s v="Male"/>
    <s v="Respiratory"/>
    <s v="Cardiology"/>
    <s v="Dr. Kumar"/>
    <d v="2024-05-08T00:00:00"/>
    <d v="2024-05-21T00:00:00"/>
    <n v="210069"/>
    <s v="Corporate"/>
    <s v="Card"/>
    <x v="3"/>
    <s v="Recovered"/>
    <n v="3"/>
  </r>
  <r>
    <s v="P0007"/>
    <n v="35"/>
    <s v="Female"/>
    <s v="Diabetes"/>
    <s v="Oncology"/>
    <s v="Dr. Meena"/>
    <d v="2025-05-16T00:00:00"/>
    <d v="2025-06-04T00:00:00"/>
    <n v="60975"/>
    <s v="Corporate"/>
    <s v="Card"/>
    <x v="4"/>
    <s v="Follow-up"/>
    <n v="3"/>
  </r>
  <r>
    <s v="P0008"/>
    <n v="63"/>
    <s v="Female"/>
    <s v="Orthopedic"/>
    <s v="Neurology"/>
    <s v="Dr. Arun"/>
    <d v="2025-11-12T00:00:00"/>
    <d v="2025-11-26T00:00:00"/>
    <n v="58206"/>
    <s v="Corporate"/>
    <s v="Card"/>
    <x v="4"/>
    <s v="Recovered"/>
    <n v="2"/>
  </r>
  <r>
    <s v="P0009"/>
    <n v="56"/>
    <s v="Male"/>
    <s v="Infection"/>
    <s v="Oncology"/>
    <s v="Dr. Raj"/>
    <d v="2024-12-22T00:00:00"/>
    <d v="2024-12-27T00:00:00"/>
    <n v="108460"/>
    <s v="None"/>
    <s v="Card"/>
    <x v="2"/>
    <s v="Follow-up"/>
    <n v="5"/>
  </r>
  <r>
    <s v="P0010"/>
    <n v="26"/>
    <s v="Female"/>
    <s v="Cardiac"/>
    <s v="Oncology"/>
    <s v="Dr. Meena"/>
    <d v="2024-12-23T00:00:00"/>
    <d v="2025-01-03T00:00:00"/>
    <n v="221018"/>
    <s v="Corporate"/>
    <s v="Insurance Claim"/>
    <x v="3"/>
    <s v="Recovered"/>
    <n v="4"/>
  </r>
  <r>
    <s v="P0011"/>
    <n v="77"/>
    <s v="Male"/>
    <s v="Orthopedic"/>
    <s v="Oncology"/>
    <s v="Dr. Priya"/>
    <d v="2024-09-26T00:00:00"/>
    <d v="2024-10-10T00:00:00"/>
    <n v="156581"/>
    <s v="None"/>
    <s v="UPI"/>
    <x v="4"/>
    <s v="Follow-up"/>
    <n v="3"/>
  </r>
  <r>
    <s v="P0012"/>
    <n v="62"/>
    <s v="Male"/>
    <s v="Cancer"/>
    <s v="Cardiology"/>
    <s v="Dr. Priya"/>
    <d v="2025-04-15T00:00:00"/>
    <d v="2025-04-16T00:00:00"/>
    <n v="181788"/>
    <s v="None"/>
    <s v="UPI"/>
    <x v="2"/>
    <s v="Recovered"/>
    <n v="2"/>
  </r>
  <r>
    <s v="P0013"/>
    <n v="26"/>
    <s v="Female"/>
    <s v="Cardiac"/>
    <s v="Neurology"/>
    <s v="Dr. Kumar"/>
    <d v="2024-07-26T00:00:00"/>
    <d v="2024-08-02T00:00:00"/>
    <n v="26559"/>
    <s v="Corporate"/>
    <s v="UPI"/>
    <x v="3"/>
    <s v="Follow-up"/>
    <n v="4"/>
  </r>
  <r>
    <s v="P0014"/>
    <n v="37"/>
    <s v="Male"/>
    <s v="Cancer"/>
    <s v="Neurology"/>
    <s v="Dr. Priya"/>
    <d v="2024-07-23T00:00:00"/>
    <d v="2024-08-07T00:00:00"/>
    <n v="37951"/>
    <s v="Private"/>
    <s v="Card"/>
    <x v="4"/>
    <s v="Follow-up"/>
    <n v="4"/>
  </r>
  <r>
    <s v="P0015"/>
    <n v="24"/>
    <s v="Female"/>
    <s v="Neurological"/>
    <s v="Cardiology"/>
    <s v="Dr. Raj"/>
    <d v="2024-02-16T00:00:00"/>
    <d v="2024-02-17T00:00:00"/>
    <n v="128687"/>
    <s v="None"/>
    <s v="Cash"/>
    <x v="2"/>
    <s v="Under Treatment"/>
    <n v="2"/>
  </r>
  <r>
    <s v="P0016"/>
    <n v="53"/>
    <s v="Male"/>
    <s v="Cancer"/>
    <s v="Oncology"/>
    <s v="Dr. Meena"/>
    <d v="2024-05-05T00:00:00"/>
    <d v="2024-05-11T00:00:00"/>
    <n v="182464"/>
    <s v="Private"/>
    <s v="Cash"/>
    <x v="2"/>
    <s v="Under Treatment"/>
    <n v="5"/>
  </r>
  <r>
    <s v="P0017"/>
    <n v="40"/>
    <s v="Female"/>
    <s v="Neurological"/>
    <s v="Cardiology"/>
    <s v="Dr. Arun"/>
    <d v="2025-11-02T00:00:00"/>
    <d v="2025-11-06T00:00:00"/>
    <n v="224069"/>
    <s v="Government"/>
    <s v="UPI"/>
    <x v="0"/>
    <s v="Follow-up"/>
    <n v="4"/>
  </r>
  <r>
    <s v="P0018"/>
    <n v="77"/>
    <s v="Male"/>
    <s v="Respiratory"/>
    <s v="Pulmonology"/>
    <s v="Dr. Meena"/>
    <d v="2024-11-13T00:00:00"/>
    <d v="2024-11-14T00:00:00"/>
    <n v="172896"/>
    <s v="Private"/>
    <s v="Insurance Claim"/>
    <x v="4"/>
    <s v="Follow-up"/>
    <n v="2"/>
  </r>
  <r>
    <s v="P0019"/>
    <n v="73"/>
    <s v="Male"/>
    <s v="Cardiac"/>
    <s v="Neurology"/>
    <s v="Dr. Meena"/>
    <d v="2025-10-03T00:00:00"/>
    <d v="2025-10-15T00:00:00"/>
    <n v="167948"/>
    <s v="Corporate"/>
    <s v="Insurance Claim"/>
    <x v="2"/>
    <s v="Under Treatment"/>
    <n v="2"/>
  </r>
  <r>
    <s v="P0020"/>
    <n v="63"/>
    <s v="Female"/>
    <s v="Infection"/>
    <s v="Cardiology"/>
    <s v="Dr. Raj"/>
    <d v="2025-09-01T00:00:00"/>
    <d v="2025-09-10T00:00:00"/>
    <n v="118480"/>
    <s v="Corporate"/>
    <s v="Insurance Claim"/>
    <x v="4"/>
    <s v="Recovered"/>
    <n v="1"/>
  </r>
  <r>
    <s v="P0021"/>
    <n v="30"/>
    <s v="Male"/>
    <s v="Diabetes"/>
    <s v="General Medicine"/>
    <s v="Dr. Arun"/>
    <d v="2025-07-19T00:00:00"/>
    <d v="2025-07-30T00:00:00"/>
    <n v="173147"/>
    <s v="Corporate"/>
    <s v="Cash"/>
    <x v="4"/>
    <s v="Recovered"/>
    <n v="5"/>
  </r>
  <r>
    <s v="P0022"/>
    <n v="52"/>
    <s v="Female"/>
    <s v="Infection"/>
    <s v="Cardiology"/>
    <s v="Dr. Arun"/>
    <d v="2024-04-20T00:00:00"/>
    <d v="2024-05-08T00:00:00"/>
    <n v="30702"/>
    <s v="Private"/>
    <s v="Card"/>
    <x v="0"/>
    <s v="Follow-up"/>
    <n v="1"/>
  </r>
  <r>
    <s v="P0023"/>
    <n v="52"/>
    <s v="Female"/>
    <s v="Cardiac"/>
    <s v="Orthopedics"/>
    <s v="Dr. Meena"/>
    <d v="2024-02-15T00:00:00"/>
    <d v="2024-03-06T00:00:00"/>
    <n v="143554"/>
    <s v="Government"/>
    <s v="Cash"/>
    <x v="3"/>
    <s v="Follow-up"/>
    <n v="3"/>
  </r>
  <r>
    <s v="P0024"/>
    <n v="28"/>
    <s v="Female"/>
    <s v="Infection"/>
    <s v="Neurology"/>
    <s v="Dr. Kumar"/>
    <d v="2024-03-23T00:00:00"/>
    <d v="2024-03-24T00:00:00"/>
    <n v="248306"/>
    <s v="None"/>
    <s v="Cash"/>
    <x v="2"/>
    <s v="Under Treatment"/>
    <n v="5"/>
  </r>
  <r>
    <s v="P0025"/>
    <n v="40"/>
    <s v="Female"/>
    <s v="Diabetes"/>
    <s v="General Medicine"/>
    <s v="Dr. Arun"/>
    <d v="2025-12-27T00:00:00"/>
    <d v="2026-01-03T00:00:00"/>
    <n v="227657"/>
    <s v="Government"/>
    <s v="Cash"/>
    <x v="2"/>
    <s v="Under Treatment"/>
    <n v="5"/>
  </r>
  <r>
    <s v="P0026"/>
    <n v="85"/>
    <s v="Male"/>
    <s v="Cardiac"/>
    <s v="General Medicine"/>
    <s v="Dr. Raj"/>
    <d v="2024-08-03T00:00:00"/>
    <d v="2024-08-04T00:00:00"/>
    <n v="158912"/>
    <s v="Private"/>
    <s v="UPI"/>
    <x v="3"/>
    <s v="Recovered"/>
    <n v="3"/>
  </r>
  <r>
    <s v="P0027"/>
    <n v="43"/>
    <s v="Female"/>
    <s v="Orthopedic"/>
    <s v="Neurology"/>
    <s v="Dr. Meena"/>
    <d v="2024-03-27T00:00:00"/>
    <d v="2024-04-08T00:00:00"/>
    <n v="74371"/>
    <s v="Private"/>
    <s v="Cash"/>
    <x v="0"/>
    <s v="Recovered"/>
    <n v="3"/>
  </r>
  <r>
    <s v="P0028"/>
    <n v="42"/>
    <s v="Female"/>
    <s v="Cancer"/>
    <s v="Neurology"/>
    <s v="Dr. Raj"/>
    <d v="2024-09-17T00:00:00"/>
    <d v="2024-10-02T00:00:00"/>
    <n v="51551"/>
    <s v="None"/>
    <s v="Card"/>
    <x v="0"/>
    <s v="Under Treatment"/>
    <n v="4"/>
  </r>
  <r>
    <s v="P0029"/>
    <n v="30"/>
    <s v="Female"/>
    <s v="Cancer"/>
    <s v="Neurology"/>
    <s v="Dr. Kumar"/>
    <d v="2025-07-02T00:00:00"/>
    <d v="2025-07-17T00:00:00"/>
    <n v="177627"/>
    <s v="Private"/>
    <s v="Insurance Claim"/>
    <x v="2"/>
    <s v="Follow-up"/>
    <n v="4"/>
  </r>
  <r>
    <s v="P0030"/>
    <n v="66"/>
    <s v="Female"/>
    <s v="Infection"/>
    <s v="Oncology"/>
    <s v="Dr. Arun"/>
    <d v="2025-12-03T00:00:00"/>
    <d v="2025-12-17T00:00:00"/>
    <n v="165074"/>
    <s v="Government"/>
    <s v="Card"/>
    <x v="4"/>
    <s v="Follow-up"/>
    <n v="4"/>
  </r>
  <r>
    <s v="P0031"/>
    <n v="20"/>
    <s v="Male"/>
    <s v="Cardiac"/>
    <s v="Pulmonology"/>
    <s v="Dr. Meena"/>
    <d v="2024-11-19T00:00:00"/>
    <d v="2024-12-06T00:00:00"/>
    <n v="81355"/>
    <s v="Private"/>
    <s v="Insurance Claim"/>
    <x v="1"/>
    <s v="Under Treatment"/>
    <n v="2"/>
  </r>
  <r>
    <s v="P0032"/>
    <n v="44"/>
    <s v="Female"/>
    <s v="Neurological"/>
    <s v="Neurology"/>
    <s v="Dr. Raj"/>
    <d v="2024-10-05T00:00:00"/>
    <d v="2024-10-21T00:00:00"/>
    <n v="221244"/>
    <s v="None"/>
    <s v="UPI"/>
    <x v="1"/>
    <s v="Recovered"/>
    <n v="4"/>
  </r>
  <r>
    <s v="P0033"/>
    <n v="84"/>
    <s v="Female"/>
    <s v="Neurological"/>
    <s v="General Medicine"/>
    <s v="Dr. Arun"/>
    <d v="2025-12-17T00:00:00"/>
    <d v="2025-12-18T00:00:00"/>
    <n v="243245"/>
    <s v="Government"/>
    <s v="Card"/>
    <x v="3"/>
    <s v="Recovered"/>
    <n v="1"/>
  </r>
  <r>
    <s v="P0034"/>
    <n v="46"/>
    <s v="Male"/>
    <s v="Cardiac"/>
    <s v="Pulmonology"/>
    <s v="Dr. Kumar"/>
    <d v="2024-07-27T00:00:00"/>
    <d v="2024-07-29T00:00:00"/>
    <n v="133732"/>
    <s v="Government"/>
    <s v="Cash"/>
    <x v="4"/>
    <s v="Recovered"/>
    <n v="5"/>
  </r>
  <r>
    <s v="P0035"/>
    <n v="50"/>
    <s v="Male"/>
    <s v="Orthopedic"/>
    <s v="Neurology"/>
    <s v="Dr. Arun"/>
    <d v="2025-08-31T00:00:00"/>
    <d v="2025-09-02T00:00:00"/>
    <n v="61245"/>
    <s v="Corporate"/>
    <s v="Cash"/>
    <x v="0"/>
    <s v="Recovered"/>
    <n v="3"/>
  </r>
  <r>
    <s v="P0036"/>
    <n v="69"/>
    <s v="Male"/>
    <s v="Cancer"/>
    <s v="Cardiology"/>
    <s v="Dr. Priya"/>
    <d v="2025-05-24T00:00:00"/>
    <d v="2025-06-13T00:00:00"/>
    <n v="215635"/>
    <s v="Corporate"/>
    <s v="Cash"/>
    <x v="2"/>
    <s v="Recovered"/>
    <n v="1"/>
  </r>
  <r>
    <s v="P0037"/>
    <n v="70"/>
    <s v="Female"/>
    <s v="Infection"/>
    <s v="Neurology"/>
    <s v="Dr. Priya"/>
    <d v="2025-02-01T00:00:00"/>
    <d v="2025-02-04T00:00:00"/>
    <n v="179932"/>
    <s v="Private"/>
    <s v="Cash"/>
    <x v="1"/>
    <s v="Follow-up"/>
    <n v="4"/>
  </r>
  <r>
    <s v="P0038"/>
    <n v="19"/>
    <s v="Female"/>
    <s v="Neurological"/>
    <s v="Cardiology"/>
    <s v="Dr. Kumar"/>
    <d v="2025-07-07T00:00:00"/>
    <d v="2025-07-15T00:00:00"/>
    <n v="125827"/>
    <s v="Private"/>
    <s v="Card"/>
    <x v="4"/>
    <s v="Recovered"/>
    <n v="1"/>
  </r>
  <r>
    <s v="P0039"/>
    <n v="80"/>
    <s v="Male"/>
    <s v="Cancer"/>
    <s v="Neurology"/>
    <s v="Dr. Kumar"/>
    <d v="2024-05-20T00:00:00"/>
    <d v="2024-05-26T00:00:00"/>
    <n v="127119"/>
    <s v="Corporate"/>
    <s v="UPI"/>
    <x v="1"/>
    <s v="Under Treatment"/>
    <n v="1"/>
  </r>
  <r>
    <s v="P0040"/>
    <n v="44"/>
    <s v="Female"/>
    <s v="Respiratory"/>
    <s v="General Medicine"/>
    <s v="Dr. Priya"/>
    <d v="2024-03-02T00:00:00"/>
    <d v="2024-03-05T00:00:00"/>
    <n v="135765"/>
    <s v="None"/>
    <s v="UPI"/>
    <x v="2"/>
    <s v="Under Treatment"/>
    <n v="3"/>
  </r>
  <r>
    <s v="P0041"/>
    <n v="31"/>
    <s v="Male"/>
    <s v="Cardiac"/>
    <s v="Orthopedics"/>
    <s v="Dr. Arun"/>
    <d v="2025-06-10T00:00:00"/>
    <d v="2025-06-28T00:00:00"/>
    <n v="109064"/>
    <s v="Corporate"/>
    <s v="Cash"/>
    <x v="3"/>
    <s v="Follow-up"/>
    <n v="1"/>
  </r>
  <r>
    <s v="P0042"/>
    <n v="26"/>
    <s v="Female"/>
    <s v="Cardiac"/>
    <s v="Pulmonology"/>
    <s v="Dr. Meena"/>
    <d v="2024-08-08T00:00:00"/>
    <d v="2024-08-10T00:00:00"/>
    <n v="69808"/>
    <s v="Private"/>
    <s v="Card"/>
    <x v="4"/>
    <s v="Under Treatment"/>
    <n v="1"/>
  </r>
  <r>
    <s v="P0043"/>
    <n v="29"/>
    <s v="Female"/>
    <s v="Neurological"/>
    <s v="Cardiology"/>
    <s v="Dr. Priya"/>
    <d v="2025-05-24T00:00:00"/>
    <d v="2025-06-09T00:00:00"/>
    <n v="20989"/>
    <s v="Private"/>
    <s v="Card"/>
    <x v="4"/>
    <s v="Under Treatment"/>
    <n v="4"/>
  </r>
  <r>
    <s v="P0044"/>
    <n v="51"/>
    <s v="Male"/>
    <s v="Orthopedic"/>
    <s v="Pulmonology"/>
    <s v="Dr. Arun"/>
    <d v="2025-09-25T00:00:00"/>
    <d v="2025-10-08T00:00:00"/>
    <n v="234701"/>
    <s v="None"/>
    <s v="Insurance Claim"/>
    <x v="4"/>
    <s v="Recovered"/>
    <n v="4"/>
  </r>
  <r>
    <s v="P0045"/>
    <n v="20"/>
    <s v="Female"/>
    <s v="Cancer"/>
    <s v="Oncology"/>
    <s v="Dr. Kumar"/>
    <d v="2024-04-15T00:00:00"/>
    <d v="2024-04-29T00:00:00"/>
    <n v="86070"/>
    <s v="Government"/>
    <s v="Cash"/>
    <x v="4"/>
    <s v="Follow-up"/>
    <n v="5"/>
  </r>
  <r>
    <s v="P0046"/>
    <n v="65"/>
    <s v="Female"/>
    <s v="Infection"/>
    <s v="Neurology"/>
    <s v="Dr. Meena"/>
    <d v="2024-10-29T00:00:00"/>
    <d v="2024-11-06T00:00:00"/>
    <n v="223210"/>
    <s v="Corporate"/>
    <s v="Cash"/>
    <x v="4"/>
    <s v="Recovered"/>
    <n v="3"/>
  </r>
  <r>
    <s v="P0047"/>
    <n v="28"/>
    <s v="Male"/>
    <s v="Orthopedic"/>
    <s v="Cardiology"/>
    <s v="Dr. Meena"/>
    <d v="2024-08-10T00:00:00"/>
    <d v="2024-08-29T00:00:00"/>
    <n v="232016"/>
    <s v="Government"/>
    <s v="UPI"/>
    <x v="4"/>
    <s v="Recovered"/>
    <n v="3"/>
  </r>
  <r>
    <s v="P0048"/>
    <n v="58"/>
    <s v="Female"/>
    <s v="Cardiac"/>
    <s v="Neurology"/>
    <s v="Dr. Arun"/>
    <d v="2025-03-20T00:00:00"/>
    <d v="2025-04-06T00:00:00"/>
    <n v="122486"/>
    <s v="None"/>
    <s v="Card"/>
    <x v="2"/>
    <s v="Follow-up"/>
    <n v="2"/>
  </r>
  <r>
    <s v="P0049"/>
    <n v="34"/>
    <s v="Female"/>
    <s v="Cardiac"/>
    <s v="Oncology"/>
    <s v="Dr. Arun"/>
    <d v="2025-12-04T00:00:00"/>
    <d v="2025-12-19T00:00:00"/>
    <n v="203443"/>
    <s v="Private"/>
    <s v="Insurance Claim"/>
    <x v="4"/>
    <s v="Follow-up"/>
    <n v="2"/>
  </r>
  <r>
    <s v="P0050"/>
    <n v="35"/>
    <s v="Female"/>
    <s v="Infection"/>
    <s v="Cardiology"/>
    <s v="Dr. Arun"/>
    <d v="2025-07-11T00:00:00"/>
    <d v="2025-07-24T00:00:00"/>
    <n v="240777"/>
    <s v="None"/>
    <s v="UPI"/>
    <x v="3"/>
    <s v="Follow-up"/>
    <n v="1"/>
  </r>
  <r>
    <s v="P0051"/>
    <n v="21"/>
    <s v="Female"/>
    <s v="Diabetes"/>
    <s v="Cardiology"/>
    <s v="Dr. Meena"/>
    <d v="2025-08-25T00:00:00"/>
    <d v="2025-09-12T00:00:00"/>
    <n v="148832"/>
    <s v="Private"/>
    <s v="Card"/>
    <x v="4"/>
    <s v="Follow-up"/>
    <n v="5"/>
  </r>
  <r>
    <s v="P0052"/>
    <n v="51"/>
    <s v="Female"/>
    <s v="Orthopedic"/>
    <s v="Orthopedics"/>
    <s v="Dr. Priya"/>
    <d v="2025-08-19T00:00:00"/>
    <d v="2025-08-21T00:00:00"/>
    <n v="44666"/>
    <s v="Government"/>
    <s v="Cash"/>
    <x v="4"/>
    <s v="Recovered"/>
    <n v="4"/>
  </r>
  <r>
    <s v="P0053"/>
    <n v="62"/>
    <s v="Male"/>
    <s v="Respiratory"/>
    <s v="General Medicine"/>
    <s v="Dr. Meena"/>
    <d v="2024-08-22T00:00:00"/>
    <d v="2024-09-03T00:00:00"/>
    <n v="125851"/>
    <s v="None"/>
    <s v="Card"/>
    <x v="2"/>
    <s v="Recovered"/>
    <n v="4"/>
  </r>
  <r>
    <s v="P0054"/>
    <n v="84"/>
    <s v="Male"/>
    <s v="Infection"/>
    <s v="Cardiology"/>
    <s v="Dr. Arun"/>
    <d v="2025-07-19T00:00:00"/>
    <d v="2025-08-06T00:00:00"/>
    <n v="94593"/>
    <s v="Government"/>
    <s v="Cash"/>
    <x v="3"/>
    <s v="Follow-up"/>
    <n v="3"/>
  </r>
  <r>
    <s v="P0055"/>
    <n v="77"/>
    <s v="Male"/>
    <s v="Infection"/>
    <s v="Oncology"/>
    <s v="Dr. Arun"/>
    <d v="2024-10-27T00:00:00"/>
    <d v="2024-11-03T00:00:00"/>
    <n v="41552"/>
    <s v="None"/>
    <s v="Cash"/>
    <x v="2"/>
    <s v="Recovered"/>
    <n v="3"/>
  </r>
  <r>
    <s v="P0056"/>
    <n v="81"/>
    <s v="Male"/>
    <s v="Cancer"/>
    <s v="Pulmonology"/>
    <s v="Dr. Raj"/>
    <d v="2025-05-07T00:00:00"/>
    <d v="2025-05-15T00:00:00"/>
    <n v="227469"/>
    <s v="None"/>
    <s v="Cash"/>
    <x v="4"/>
    <s v="Recovered"/>
    <n v="5"/>
  </r>
  <r>
    <s v="P0057"/>
    <n v="73"/>
    <s v="Female"/>
    <s v="Cardiac"/>
    <s v="Cardiology"/>
    <s v="Dr. Meena"/>
    <d v="2024-08-20T00:00:00"/>
    <d v="2024-09-01T00:00:00"/>
    <n v="160404"/>
    <s v="Private"/>
    <s v="UPI"/>
    <x v="2"/>
    <s v="Under Treatment"/>
    <n v="1"/>
  </r>
  <r>
    <s v="P0058"/>
    <n v="31"/>
    <s v="Female"/>
    <s v="Diabetes"/>
    <s v="Orthopedics"/>
    <s v="Dr. Arun"/>
    <d v="2025-09-02T00:00:00"/>
    <d v="2025-09-21T00:00:00"/>
    <n v="194509"/>
    <s v="Corporate"/>
    <s v="UPI"/>
    <x v="0"/>
    <s v="Follow-up"/>
    <n v="2"/>
  </r>
  <r>
    <s v="P0059"/>
    <n v="39"/>
    <s v="Female"/>
    <s v="Cancer"/>
    <s v="Oncology"/>
    <s v="Dr. Priya"/>
    <d v="2024-09-19T00:00:00"/>
    <d v="2024-09-30T00:00:00"/>
    <n v="22058"/>
    <s v="None"/>
    <s v="Cash"/>
    <x v="1"/>
    <s v="Recovered"/>
    <n v="4"/>
  </r>
  <r>
    <s v="P0060"/>
    <n v="73"/>
    <s v="Male"/>
    <s v="Respiratory"/>
    <s v="Orthopedics"/>
    <s v="Dr. Priya"/>
    <d v="2025-05-19T00:00:00"/>
    <d v="2025-06-04T00:00:00"/>
    <n v="20041"/>
    <s v="Private"/>
    <s v="Insurance Claim"/>
    <x v="1"/>
    <s v="Under Treatment"/>
    <n v="1"/>
  </r>
  <r>
    <s v="P0061"/>
    <n v="42"/>
    <s v="Female"/>
    <s v="Neurological"/>
    <s v="Neurology"/>
    <s v="Dr. Meena"/>
    <d v="2024-03-21T00:00:00"/>
    <d v="2024-03-22T00:00:00"/>
    <n v="149566"/>
    <s v="None"/>
    <s v="Insurance Claim"/>
    <x v="2"/>
    <s v="Under Treatment"/>
    <n v="1"/>
  </r>
  <r>
    <s v="P0062"/>
    <n v="40"/>
    <s v="Male"/>
    <s v="Cancer"/>
    <s v="Pulmonology"/>
    <s v="Dr. Arun"/>
    <d v="2024-11-19T00:00:00"/>
    <d v="2024-11-30T00:00:00"/>
    <n v="53056"/>
    <s v="None"/>
    <s v="UPI"/>
    <x v="1"/>
    <s v="Follow-up"/>
    <n v="2"/>
  </r>
  <r>
    <s v="P0063"/>
    <n v="30"/>
    <s v="Female"/>
    <s v="Diabetes"/>
    <s v="Cardiology"/>
    <s v="Dr. Arun"/>
    <d v="2025-05-14T00:00:00"/>
    <d v="2025-05-22T00:00:00"/>
    <n v="23298"/>
    <s v="Government"/>
    <s v="Cash"/>
    <x v="4"/>
    <s v="Under Treatment"/>
    <n v="3"/>
  </r>
  <r>
    <s v="P0064"/>
    <n v="83"/>
    <s v="Female"/>
    <s v="Cancer"/>
    <s v="Oncology"/>
    <s v="Dr. Priya"/>
    <d v="2024-05-19T00:00:00"/>
    <d v="2024-05-25T00:00:00"/>
    <n v="47630"/>
    <s v="Government"/>
    <s v="Card"/>
    <x v="4"/>
    <s v="Recovered"/>
    <n v="1"/>
  </r>
  <r>
    <s v="P0065"/>
    <n v="53"/>
    <s v="Male"/>
    <s v="Orthopedic"/>
    <s v="Oncology"/>
    <s v="Dr. Arun"/>
    <d v="2024-01-07T00:00:00"/>
    <d v="2024-01-13T00:00:00"/>
    <n v="156724"/>
    <s v="None"/>
    <s v="UPI"/>
    <x v="1"/>
    <s v="Recovered"/>
    <n v="4"/>
  </r>
  <r>
    <s v="P0066"/>
    <n v="85"/>
    <s v="Male"/>
    <s v="Infection"/>
    <s v="Neurology"/>
    <s v="Dr. Arun"/>
    <d v="2024-12-28T00:00:00"/>
    <d v="2025-01-07T00:00:00"/>
    <n v="215091"/>
    <s v="Private"/>
    <s v="Cash"/>
    <x v="4"/>
    <s v="Under Treatment"/>
    <n v="4"/>
  </r>
  <r>
    <s v="P0067"/>
    <n v="22"/>
    <s v="Male"/>
    <s v="Neurological"/>
    <s v="Pulmonology"/>
    <s v="Dr. Arun"/>
    <d v="2024-10-31T00:00:00"/>
    <d v="2024-11-19T00:00:00"/>
    <n v="142659"/>
    <s v="Corporate"/>
    <s v="Cash"/>
    <x v="0"/>
    <s v="Follow-up"/>
    <n v="1"/>
  </r>
  <r>
    <s v="P0068"/>
    <n v="54"/>
    <s v="Female"/>
    <s v="Respiratory"/>
    <s v="Oncology"/>
    <s v="Dr. Raj"/>
    <d v="2025-11-23T00:00:00"/>
    <d v="2025-12-04T00:00:00"/>
    <n v="142295"/>
    <s v="Government"/>
    <s v="UPI"/>
    <x v="3"/>
    <s v="Recovered"/>
    <n v="4"/>
  </r>
  <r>
    <s v="P0069"/>
    <n v="70"/>
    <s v="Female"/>
    <s v="Orthopedic"/>
    <s v="Pulmonology"/>
    <s v="Dr. Meena"/>
    <d v="2024-05-06T00:00:00"/>
    <d v="2024-05-07T00:00:00"/>
    <n v="64085"/>
    <s v="None"/>
    <s v="Cash"/>
    <x v="0"/>
    <s v="Follow-up"/>
    <n v="5"/>
  </r>
  <r>
    <s v="P0070"/>
    <n v="56"/>
    <s v="Male"/>
    <s v="Respiratory"/>
    <s v="Cardiology"/>
    <s v="Dr. Priya"/>
    <d v="2024-04-25T00:00:00"/>
    <d v="2024-05-01T00:00:00"/>
    <n v="212927"/>
    <s v="Government"/>
    <s v="UPI"/>
    <x v="1"/>
    <s v="Recovered"/>
    <n v="2"/>
  </r>
  <r>
    <s v="P0071"/>
    <n v="28"/>
    <s v="Male"/>
    <s v="Cancer"/>
    <s v="General Medicine"/>
    <s v="Dr. Meena"/>
    <d v="2024-03-21T00:00:00"/>
    <d v="2024-03-30T00:00:00"/>
    <n v="119271"/>
    <s v="Corporate"/>
    <s v="Insurance Claim"/>
    <x v="0"/>
    <s v="Follow-up"/>
    <n v="4"/>
  </r>
  <r>
    <s v="P0072"/>
    <n v="29"/>
    <s v="Male"/>
    <s v="Cancer"/>
    <s v="Orthopedics"/>
    <s v="Dr. Priya"/>
    <d v="2025-05-18T00:00:00"/>
    <d v="2025-05-31T00:00:00"/>
    <n v="71195"/>
    <s v="Private"/>
    <s v="Card"/>
    <x v="2"/>
    <s v="Follow-up"/>
    <n v="3"/>
  </r>
  <r>
    <s v="P0073"/>
    <n v="31"/>
    <s v="Female"/>
    <s v="Cancer"/>
    <s v="Oncology"/>
    <s v="Dr. Meena"/>
    <d v="2024-08-01T00:00:00"/>
    <d v="2024-08-21T00:00:00"/>
    <n v="101072"/>
    <s v="Private"/>
    <s v="Insurance Claim"/>
    <x v="4"/>
    <s v="Recovered"/>
    <n v="4"/>
  </r>
  <r>
    <s v="P0074"/>
    <n v="62"/>
    <s v="Male"/>
    <s v="Respiratory"/>
    <s v="Pulmonology"/>
    <s v="Dr. Kumar"/>
    <d v="2024-03-03T00:00:00"/>
    <d v="2024-03-16T00:00:00"/>
    <n v="95513"/>
    <s v="Government"/>
    <s v="Card"/>
    <x v="3"/>
    <s v="Under Treatment"/>
    <n v="1"/>
  </r>
  <r>
    <s v="P0075"/>
    <n v="84"/>
    <s v="Female"/>
    <s v="Infection"/>
    <s v="Cardiology"/>
    <s v="Dr. Raj"/>
    <d v="2025-06-20T00:00:00"/>
    <d v="2025-07-01T00:00:00"/>
    <n v="38235"/>
    <s v="Private"/>
    <s v="Card"/>
    <x v="2"/>
    <s v="Under Treatment"/>
    <n v="4"/>
  </r>
  <r>
    <s v="P0076"/>
    <n v="75"/>
    <s v="Female"/>
    <s v="Neurological"/>
    <s v="Neurology"/>
    <s v="Dr. Meena"/>
    <d v="2025-12-07T00:00:00"/>
    <d v="2025-12-10T00:00:00"/>
    <n v="220805"/>
    <s v="Corporate"/>
    <s v="Cash"/>
    <x v="4"/>
    <s v="Recovered"/>
    <n v="2"/>
  </r>
  <r>
    <s v="P0077"/>
    <n v="53"/>
    <s v="Female"/>
    <s v="Orthopedic"/>
    <s v="Oncology"/>
    <s v="Dr. Arun"/>
    <d v="2024-12-30T00:00:00"/>
    <d v="2025-01-18T00:00:00"/>
    <n v="196683"/>
    <s v="Corporate"/>
    <s v="Insurance Claim"/>
    <x v="1"/>
    <s v="Recovered"/>
    <n v="5"/>
  </r>
  <r>
    <s v="P0078"/>
    <n v="52"/>
    <s v="Male"/>
    <s v="Cancer"/>
    <s v="Oncology"/>
    <s v="Dr. Arun"/>
    <d v="2024-07-15T00:00:00"/>
    <d v="2024-07-31T00:00:00"/>
    <n v="189270"/>
    <s v="None"/>
    <s v="UPI"/>
    <x v="1"/>
    <s v="Follow-up"/>
    <n v="2"/>
  </r>
  <r>
    <s v="P0079"/>
    <n v="68"/>
    <s v="Male"/>
    <s v="Respiratory"/>
    <s v="Pulmonology"/>
    <s v="Dr. Meena"/>
    <d v="2024-08-16T00:00:00"/>
    <d v="2024-09-05T00:00:00"/>
    <n v="19679"/>
    <s v="Corporate"/>
    <s v="UPI"/>
    <x v="2"/>
    <s v="Recovered"/>
    <n v="3"/>
  </r>
  <r>
    <s v="P0080"/>
    <n v="29"/>
    <s v="Male"/>
    <s v="Diabetes"/>
    <s v="Oncology"/>
    <s v="Dr. Raj"/>
    <d v="2025-03-18T00:00:00"/>
    <d v="2025-03-31T00:00:00"/>
    <n v="211891"/>
    <s v="Government"/>
    <s v="UPI"/>
    <x v="0"/>
    <s v="Under Treatment"/>
    <n v="5"/>
  </r>
  <r>
    <s v="P0081"/>
    <n v="46"/>
    <s v="Male"/>
    <s v="Respiratory"/>
    <s v="Pulmonology"/>
    <s v="Dr. Priya"/>
    <d v="2024-09-09T00:00:00"/>
    <d v="2024-09-29T00:00:00"/>
    <n v="240537"/>
    <s v="Private"/>
    <s v="Card"/>
    <x v="0"/>
    <s v="Recovered"/>
    <n v="2"/>
  </r>
  <r>
    <s v="P0082"/>
    <n v="32"/>
    <s v="Female"/>
    <s v="Cardiac"/>
    <s v="Cardiology"/>
    <s v="Dr. Priya"/>
    <d v="2024-10-10T00:00:00"/>
    <d v="2024-10-21T00:00:00"/>
    <n v="78153"/>
    <s v="Private"/>
    <s v="Card"/>
    <x v="3"/>
    <s v="Follow-up"/>
    <n v="5"/>
  </r>
  <r>
    <s v="P0083"/>
    <n v="47"/>
    <s v="Male"/>
    <s v="Infection"/>
    <s v="Pulmonology"/>
    <s v="Dr. Meena"/>
    <d v="2025-07-22T00:00:00"/>
    <d v="2025-07-28T00:00:00"/>
    <n v="28603"/>
    <s v="Government"/>
    <s v="Cash"/>
    <x v="2"/>
    <s v="Follow-up"/>
    <n v="3"/>
  </r>
  <r>
    <s v="P0084"/>
    <n v="50"/>
    <s v="Male"/>
    <s v="Orthopedic"/>
    <s v="Pulmonology"/>
    <s v="Dr. Arun"/>
    <d v="2024-07-06T00:00:00"/>
    <d v="2024-07-25T00:00:00"/>
    <n v="67026"/>
    <s v="Corporate"/>
    <s v="Cash"/>
    <x v="4"/>
    <s v="Recovered"/>
    <n v="5"/>
  </r>
  <r>
    <s v="P0085"/>
    <n v="61"/>
    <s v="Female"/>
    <s v="Infection"/>
    <s v="Oncology"/>
    <s v="Dr. Priya"/>
    <d v="2025-12-31T00:00:00"/>
    <d v="2026-01-20T00:00:00"/>
    <n v="119335"/>
    <s v="Private"/>
    <s v="Card"/>
    <x v="0"/>
    <s v="Under Treatment"/>
    <n v="3"/>
  </r>
  <r>
    <s v="P0086"/>
    <n v="41"/>
    <s v="Male"/>
    <s v="Respiratory"/>
    <s v="General Medicine"/>
    <s v="Dr. Kumar"/>
    <d v="2024-02-09T00:00:00"/>
    <d v="2024-02-29T00:00:00"/>
    <n v="93312"/>
    <s v="Government"/>
    <s v="UPI"/>
    <x v="1"/>
    <s v="Follow-up"/>
    <n v="5"/>
  </r>
  <r>
    <s v="P0087"/>
    <n v="49"/>
    <s v="Female"/>
    <s v="Neurological"/>
    <s v="Pulmonology"/>
    <s v="Dr. Meena"/>
    <d v="2025-01-14T00:00:00"/>
    <d v="2025-01-21T00:00:00"/>
    <n v="155035"/>
    <s v="None"/>
    <s v="Card"/>
    <x v="4"/>
    <s v="Under Treatment"/>
    <n v="4"/>
  </r>
  <r>
    <s v="P0088"/>
    <n v="71"/>
    <s v="Female"/>
    <s v="Neurological"/>
    <s v="Neurology"/>
    <s v="Dr. Kumar"/>
    <d v="2024-09-10T00:00:00"/>
    <d v="2024-09-25T00:00:00"/>
    <n v="221059"/>
    <s v="Government"/>
    <s v="Cash"/>
    <x v="1"/>
    <s v="Recovered"/>
    <n v="1"/>
  </r>
  <r>
    <s v="P0089"/>
    <n v="34"/>
    <s v="Female"/>
    <s v="Neurological"/>
    <s v="Orthopedics"/>
    <s v="Dr. Raj"/>
    <d v="2024-07-08T00:00:00"/>
    <d v="2024-07-13T00:00:00"/>
    <n v="170154"/>
    <s v="Private"/>
    <s v="UPI"/>
    <x v="1"/>
    <s v="Under Treatment"/>
    <n v="3"/>
  </r>
  <r>
    <s v="P0090"/>
    <n v="39"/>
    <s v="Male"/>
    <s v="Diabetes"/>
    <s v="Orthopedics"/>
    <s v="Dr. Priya"/>
    <d v="2024-05-13T00:00:00"/>
    <d v="2024-05-23T00:00:00"/>
    <n v="121329"/>
    <s v="Private"/>
    <s v="Insurance Claim"/>
    <x v="1"/>
    <s v="Follow-up"/>
    <n v="2"/>
  </r>
  <r>
    <s v="P0091"/>
    <n v="76"/>
    <s v="Female"/>
    <s v="Cancer"/>
    <s v="Pulmonology"/>
    <s v="Dr. Arun"/>
    <d v="2025-11-16T00:00:00"/>
    <d v="2025-11-22T00:00:00"/>
    <n v="50938"/>
    <s v="None"/>
    <s v="Insurance Claim"/>
    <x v="0"/>
    <s v="Under Treatment"/>
    <n v="5"/>
  </r>
  <r>
    <s v="P0092"/>
    <n v="80"/>
    <s v="Female"/>
    <s v="Diabetes"/>
    <s v="General Medicine"/>
    <s v="Dr. Kumar"/>
    <d v="2025-10-08T00:00:00"/>
    <d v="2025-10-11T00:00:00"/>
    <n v="111143"/>
    <s v="Corporate"/>
    <s v="Insurance Claim"/>
    <x v="1"/>
    <s v="Follow-up"/>
    <n v="1"/>
  </r>
  <r>
    <s v="P0093"/>
    <n v="45"/>
    <s v="Female"/>
    <s v="Diabetes"/>
    <s v="Neurology"/>
    <s v="Dr. Priya"/>
    <d v="2024-10-12T00:00:00"/>
    <d v="2024-10-22T00:00:00"/>
    <n v="152076"/>
    <s v="Corporate"/>
    <s v="Card"/>
    <x v="0"/>
    <s v="Follow-up"/>
    <n v="2"/>
  </r>
  <r>
    <s v="P0094"/>
    <n v="36"/>
    <s v="Male"/>
    <s v="Respiratory"/>
    <s v="General Medicine"/>
    <s v="Dr. Meena"/>
    <d v="2024-10-07T00:00:00"/>
    <d v="2024-10-25T00:00:00"/>
    <n v="6486"/>
    <s v="None"/>
    <s v="Insurance Claim"/>
    <x v="3"/>
    <s v="Under Treatment"/>
    <n v="4"/>
  </r>
  <r>
    <s v="P0095"/>
    <n v="69"/>
    <s v="Male"/>
    <s v="Orthopedic"/>
    <s v="Neurology"/>
    <s v="Dr. Raj"/>
    <d v="2025-03-15T00:00:00"/>
    <d v="2025-04-04T00:00:00"/>
    <n v="236034"/>
    <s v="None"/>
    <s v="Cash"/>
    <x v="2"/>
    <s v="Follow-up"/>
    <n v="1"/>
  </r>
  <r>
    <s v="P0096"/>
    <n v="37"/>
    <s v="Male"/>
    <s v="Orthopedic"/>
    <s v="General Medicine"/>
    <s v="Dr. Arun"/>
    <d v="2024-06-03T00:00:00"/>
    <d v="2024-06-09T00:00:00"/>
    <n v="179738"/>
    <s v="Private"/>
    <s v="Cash"/>
    <x v="4"/>
    <s v="Under Treatment"/>
    <n v="2"/>
  </r>
  <r>
    <s v="P0097"/>
    <n v="80"/>
    <s v="Male"/>
    <s v="Neurological"/>
    <s v="Pulmonology"/>
    <s v="Dr. Arun"/>
    <d v="2025-06-06T00:00:00"/>
    <d v="2025-06-21T00:00:00"/>
    <n v="237932"/>
    <s v="None"/>
    <s v="Insurance Claim"/>
    <x v="2"/>
    <s v="Recovered"/>
    <n v="4"/>
  </r>
  <r>
    <s v="P0098"/>
    <n v="52"/>
    <s v="Male"/>
    <s v="Infection"/>
    <s v="Oncology"/>
    <s v="Dr. Raj"/>
    <d v="2024-08-12T00:00:00"/>
    <d v="2024-08-17T00:00:00"/>
    <n v="24854"/>
    <s v="Private"/>
    <s v="Card"/>
    <x v="1"/>
    <s v="Recovered"/>
    <n v="1"/>
  </r>
  <r>
    <s v="P0099"/>
    <n v="20"/>
    <s v="Female"/>
    <s v="Infection"/>
    <s v="Orthopedics"/>
    <s v="Dr. Priya"/>
    <d v="2024-07-16T00:00:00"/>
    <d v="2024-08-04T00:00:00"/>
    <n v="182490"/>
    <s v="Corporate"/>
    <s v="Card"/>
    <x v="2"/>
    <s v="Recovered"/>
    <n v="1"/>
  </r>
  <r>
    <s v="P0100"/>
    <n v="48"/>
    <s v="Female"/>
    <s v="Cancer"/>
    <s v="Orthopedics"/>
    <s v="Dr. Kumar"/>
    <d v="2024-09-28T00:00:00"/>
    <d v="2024-10-01T00:00:00"/>
    <n v="194925"/>
    <s v="Private"/>
    <s v="Cash"/>
    <x v="3"/>
    <s v="Under Treatment"/>
    <n v="5"/>
  </r>
  <r>
    <s v="P0101"/>
    <n v="41"/>
    <s v="Female"/>
    <s v="Diabetes"/>
    <s v="Orthopedics"/>
    <s v="Dr. Raj"/>
    <d v="2025-03-13T00:00:00"/>
    <d v="2025-03-19T00:00:00"/>
    <n v="205022"/>
    <s v="Corporate"/>
    <s v="Card"/>
    <x v="1"/>
    <s v="Under Treatment"/>
    <n v="1"/>
  </r>
  <r>
    <s v="P0102"/>
    <n v="23"/>
    <s v="Male"/>
    <s v="Respiratory"/>
    <s v="Neurology"/>
    <s v="Dr. Meena"/>
    <d v="2024-05-22T00:00:00"/>
    <d v="2024-06-10T00:00:00"/>
    <n v="219879"/>
    <s v="None"/>
    <s v="Insurance Claim"/>
    <x v="0"/>
    <s v="Recovered"/>
    <n v="5"/>
  </r>
  <r>
    <s v="P0103"/>
    <n v="44"/>
    <s v="Male"/>
    <s v="Neurological"/>
    <s v="Cardiology"/>
    <s v="Dr. Arun"/>
    <d v="2025-03-07T00:00:00"/>
    <d v="2025-03-18T00:00:00"/>
    <n v="128350"/>
    <s v="None"/>
    <s v="Card"/>
    <x v="1"/>
    <s v="Under Treatment"/>
    <n v="2"/>
  </r>
  <r>
    <s v="P0104"/>
    <n v="68"/>
    <s v="Male"/>
    <s v="Cardiac"/>
    <s v="Pulmonology"/>
    <s v="Dr. Arun"/>
    <d v="2024-02-24T00:00:00"/>
    <d v="2024-03-12T00:00:00"/>
    <n v="128391"/>
    <s v="None"/>
    <s v="Insurance Claim"/>
    <x v="3"/>
    <s v="Under Treatment"/>
    <n v="3"/>
  </r>
  <r>
    <s v="P0105"/>
    <n v="36"/>
    <s v="Female"/>
    <s v="Respiratory"/>
    <s v="Pulmonology"/>
    <s v="Dr. Kumar"/>
    <d v="2024-12-26T00:00:00"/>
    <d v="2025-01-13T00:00:00"/>
    <n v="29730"/>
    <s v="Government"/>
    <s v="Cash"/>
    <x v="3"/>
    <s v="Recovered"/>
    <n v="4"/>
  </r>
  <r>
    <s v="P0106"/>
    <n v="20"/>
    <s v="Male"/>
    <s v="Orthopedic"/>
    <s v="Pulmonology"/>
    <s v="Dr. Kumar"/>
    <d v="2025-12-04T00:00:00"/>
    <d v="2025-12-22T00:00:00"/>
    <n v="210584"/>
    <s v="Private"/>
    <s v="Card"/>
    <x v="2"/>
    <s v="Under Treatment"/>
    <n v="1"/>
  </r>
  <r>
    <s v="P0107"/>
    <n v="40"/>
    <s v="Male"/>
    <s v="Respiratory"/>
    <s v="General Medicine"/>
    <s v="Dr. Priya"/>
    <d v="2024-11-25T00:00:00"/>
    <d v="2024-12-01T00:00:00"/>
    <n v="241059"/>
    <s v="None"/>
    <s v="Card"/>
    <x v="4"/>
    <s v="Recovered"/>
    <n v="4"/>
  </r>
  <r>
    <s v="P0108"/>
    <n v="45"/>
    <s v="Male"/>
    <s v="Cancer"/>
    <s v="Oncology"/>
    <s v="Dr. Meena"/>
    <d v="2024-02-14T00:00:00"/>
    <d v="2024-03-04T00:00:00"/>
    <n v="79031"/>
    <s v="Private"/>
    <s v="Cash"/>
    <x v="1"/>
    <s v="Follow-up"/>
    <n v="3"/>
  </r>
  <r>
    <s v="P0109"/>
    <n v="19"/>
    <s v="Male"/>
    <s v="Infection"/>
    <s v="Pulmonology"/>
    <s v="Dr. Priya"/>
    <d v="2024-09-12T00:00:00"/>
    <d v="2024-09-30T00:00:00"/>
    <n v="144750"/>
    <s v="Corporate"/>
    <s v="UPI"/>
    <x v="4"/>
    <s v="Follow-up"/>
    <n v="4"/>
  </r>
  <r>
    <s v="P0110"/>
    <n v="42"/>
    <s v="Male"/>
    <s v="Diabetes"/>
    <s v="Pulmonology"/>
    <s v="Dr. Kumar"/>
    <d v="2024-05-12T00:00:00"/>
    <d v="2024-05-30T00:00:00"/>
    <n v="114721"/>
    <s v="None"/>
    <s v="Insurance Claim"/>
    <x v="4"/>
    <s v="Follow-up"/>
    <n v="1"/>
  </r>
  <r>
    <s v="P0111"/>
    <n v="35"/>
    <s v="Male"/>
    <s v="Orthopedic"/>
    <s v="Cardiology"/>
    <s v="Dr. Arun"/>
    <d v="2024-12-07T00:00:00"/>
    <d v="2024-12-27T00:00:00"/>
    <n v="124328"/>
    <s v="Government"/>
    <s v="Insurance Claim"/>
    <x v="4"/>
    <s v="Follow-up"/>
    <n v="5"/>
  </r>
  <r>
    <s v="P0112"/>
    <n v="83"/>
    <s v="Female"/>
    <s v="Respiratory"/>
    <s v="Neurology"/>
    <s v="Dr. Priya"/>
    <d v="2024-04-12T00:00:00"/>
    <d v="2024-04-25T00:00:00"/>
    <n v="68052"/>
    <s v="Government"/>
    <s v="Card"/>
    <x v="0"/>
    <s v="Recovered"/>
    <n v="5"/>
  </r>
  <r>
    <s v="P0113"/>
    <n v="35"/>
    <s v="Male"/>
    <s v="Cancer"/>
    <s v="Orthopedics"/>
    <s v="Dr. Priya"/>
    <d v="2024-07-27T00:00:00"/>
    <d v="2024-08-01T00:00:00"/>
    <n v="105788"/>
    <s v="Government"/>
    <s v="Cash"/>
    <x v="0"/>
    <s v="Under Treatment"/>
    <n v="4"/>
  </r>
  <r>
    <s v="P0114"/>
    <n v="83"/>
    <s v="Female"/>
    <s v="Respiratory"/>
    <s v="Cardiology"/>
    <s v="Dr. Priya"/>
    <d v="2024-01-07T00:00:00"/>
    <d v="2024-01-24T00:00:00"/>
    <n v="118538"/>
    <s v="Government"/>
    <s v="Insurance Claim"/>
    <x v="4"/>
    <s v="Follow-up"/>
    <n v="2"/>
  </r>
  <r>
    <s v="P0115"/>
    <n v="64"/>
    <s v="Male"/>
    <s v="Diabetes"/>
    <s v="Oncology"/>
    <s v="Dr. Kumar"/>
    <d v="2025-12-23T00:00:00"/>
    <d v="2026-01-07T00:00:00"/>
    <n v="225888"/>
    <s v="Private"/>
    <s v="Card"/>
    <x v="0"/>
    <s v="Follow-up"/>
    <n v="4"/>
  </r>
  <r>
    <s v="P0116"/>
    <n v="57"/>
    <s v="Male"/>
    <s v="Infection"/>
    <s v="Pulmonology"/>
    <s v="Dr. Priya"/>
    <d v="2025-01-04T00:00:00"/>
    <d v="2025-01-23T00:00:00"/>
    <n v="167623"/>
    <s v="None"/>
    <s v="Cash"/>
    <x v="4"/>
    <s v="Recovered"/>
    <n v="5"/>
  </r>
  <r>
    <s v="P0117"/>
    <n v="37"/>
    <s v="Male"/>
    <s v="Infection"/>
    <s v="Orthopedics"/>
    <s v="Dr. Raj"/>
    <d v="2024-05-06T00:00:00"/>
    <d v="2024-05-22T00:00:00"/>
    <n v="178305"/>
    <s v="None"/>
    <s v="Insurance Claim"/>
    <x v="0"/>
    <s v="Follow-up"/>
    <n v="5"/>
  </r>
  <r>
    <s v="P0118"/>
    <n v="26"/>
    <s v="Female"/>
    <s v="Diabetes"/>
    <s v="General Medicine"/>
    <s v="Dr. Priya"/>
    <d v="2025-05-06T00:00:00"/>
    <d v="2025-05-18T00:00:00"/>
    <n v="20173"/>
    <s v="Corporate"/>
    <s v="Cash"/>
    <x v="1"/>
    <s v="Under Treatment"/>
    <n v="1"/>
  </r>
  <r>
    <s v="P0119"/>
    <n v="51"/>
    <s v="Female"/>
    <s v="Orthopedic"/>
    <s v="Orthopedics"/>
    <s v="Dr. Raj"/>
    <d v="2025-09-01T00:00:00"/>
    <d v="2025-09-21T00:00:00"/>
    <n v="226462"/>
    <s v="Private"/>
    <s v="UPI"/>
    <x v="3"/>
    <s v="Follow-up"/>
    <n v="2"/>
  </r>
  <r>
    <s v="P0120"/>
    <n v="26"/>
    <s v="Male"/>
    <s v="Cancer"/>
    <s v="Pulmonology"/>
    <s v="Dr. Arun"/>
    <d v="2025-02-20T00:00:00"/>
    <d v="2025-02-21T00:00:00"/>
    <n v="234747"/>
    <s v="Government"/>
    <s v="Card"/>
    <x v="4"/>
    <s v="Follow-up"/>
    <n v="2"/>
  </r>
  <r>
    <s v="P0121"/>
    <n v="34"/>
    <s v="Female"/>
    <s v="Cardiac"/>
    <s v="Orthopedics"/>
    <s v="Dr. Priya"/>
    <d v="2025-05-27T00:00:00"/>
    <d v="2025-06-04T00:00:00"/>
    <n v="146520"/>
    <s v="Government"/>
    <s v="UPI"/>
    <x v="2"/>
    <s v="Under Treatment"/>
    <n v="2"/>
  </r>
  <r>
    <s v="P0122"/>
    <n v="49"/>
    <s v="Female"/>
    <s v="Respiratory"/>
    <s v="General Medicine"/>
    <s v="Dr. Priya"/>
    <d v="2024-07-24T00:00:00"/>
    <d v="2024-07-28T00:00:00"/>
    <n v="70059"/>
    <s v="Corporate"/>
    <s v="Cash"/>
    <x v="3"/>
    <s v="Under Treatment"/>
    <n v="3"/>
  </r>
  <r>
    <s v="P0123"/>
    <n v="38"/>
    <s v="Female"/>
    <s v="Orthopedic"/>
    <s v="Orthopedics"/>
    <s v="Dr. Priya"/>
    <d v="2024-10-30T00:00:00"/>
    <d v="2024-11-16T00:00:00"/>
    <n v="220726"/>
    <s v="Private"/>
    <s v="UPI"/>
    <x v="0"/>
    <s v="Under Treatment"/>
    <n v="1"/>
  </r>
  <r>
    <s v="P0124"/>
    <n v="26"/>
    <s v="Female"/>
    <s v="Diabetes"/>
    <s v="Neurology"/>
    <s v="Dr. Kumar"/>
    <d v="2024-09-23T00:00:00"/>
    <d v="2024-10-01T00:00:00"/>
    <n v="144314"/>
    <s v="None"/>
    <s v="Cash"/>
    <x v="3"/>
    <s v="Recovered"/>
    <n v="1"/>
  </r>
  <r>
    <s v="P0125"/>
    <n v="37"/>
    <s v="Male"/>
    <s v="Cancer"/>
    <s v="General Medicine"/>
    <s v="Dr. Meena"/>
    <d v="2025-03-30T00:00:00"/>
    <d v="2025-04-14T00:00:00"/>
    <n v="10823"/>
    <s v="Private"/>
    <s v="Card"/>
    <x v="2"/>
    <s v="Under Treatment"/>
    <n v="1"/>
  </r>
  <r>
    <s v="P0126"/>
    <n v="74"/>
    <s v="Male"/>
    <s v="Neurological"/>
    <s v="Orthopedics"/>
    <s v="Dr. Kumar"/>
    <d v="2025-08-09T00:00:00"/>
    <d v="2025-08-22T00:00:00"/>
    <n v="62581"/>
    <s v="Private"/>
    <s v="Card"/>
    <x v="1"/>
    <s v="Under Treatment"/>
    <n v="1"/>
  </r>
  <r>
    <s v="P0127"/>
    <n v="85"/>
    <s v="Female"/>
    <s v="Diabetes"/>
    <s v="Orthopedics"/>
    <s v="Dr. Raj"/>
    <d v="2025-09-02T00:00:00"/>
    <d v="2025-09-09T00:00:00"/>
    <n v="92883"/>
    <s v="Government"/>
    <s v="Insurance Claim"/>
    <x v="0"/>
    <s v="Follow-up"/>
    <n v="5"/>
  </r>
  <r>
    <s v="P0128"/>
    <n v="54"/>
    <s v="Male"/>
    <s v="Respiratory"/>
    <s v="Orthopedics"/>
    <s v="Dr. Kumar"/>
    <d v="2024-07-26T00:00:00"/>
    <d v="2024-08-13T00:00:00"/>
    <n v="213323"/>
    <s v="Government"/>
    <s v="UPI"/>
    <x v="1"/>
    <s v="Under Treatment"/>
    <n v="3"/>
  </r>
  <r>
    <s v="P0129"/>
    <n v="57"/>
    <s v="Male"/>
    <s v="Cancer"/>
    <s v="Cardiology"/>
    <s v="Dr. Priya"/>
    <d v="2025-03-01T00:00:00"/>
    <d v="2025-03-08T00:00:00"/>
    <n v="240384"/>
    <s v="Corporate"/>
    <s v="Cash"/>
    <x v="1"/>
    <s v="Recovered"/>
    <n v="4"/>
  </r>
  <r>
    <s v="P0130"/>
    <n v="29"/>
    <s v="Female"/>
    <s v="Infection"/>
    <s v="Orthopedics"/>
    <s v="Dr. Priya"/>
    <d v="2025-05-27T00:00:00"/>
    <d v="2025-06-16T00:00:00"/>
    <n v="112357"/>
    <s v="None"/>
    <s v="Cash"/>
    <x v="2"/>
    <s v="Recovered"/>
    <n v="2"/>
  </r>
  <r>
    <s v="P0131"/>
    <n v="40"/>
    <s v="Male"/>
    <s v="Neurological"/>
    <s v="General Medicine"/>
    <s v="Dr. Raj"/>
    <d v="2025-03-11T00:00:00"/>
    <d v="2025-03-22T00:00:00"/>
    <n v="163416"/>
    <s v="Government"/>
    <s v="Cash"/>
    <x v="0"/>
    <s v="Follow-up"/>
    <n v="3"/>
  </r>
  <r>
    <s v="P0132"/>
    <n v="25"/>
    <s v="Female"/>
    <s v="Infection"/>
    <s v="Pulmonology"/>
    <s v="Dr. Kumar"/>
    <d v="2024-10-01T00:00:00"/>
    <d v="2024-10-17T00:00:00"/>
    <n v="30976"/>
    <s v="Corporate"/>
    <s v="Cash"/>
    <x v="1"/>
    <s v="Under Treatment"/>
    <n v="5"/>
  </r>
  <r>
    <s v="P0133"/>
    <n v="20"/>
    <s v="Male"/>
    <s v="Cardiac"/>
    <s v="Pulmonology"/>
    <s v="Dr. Kumar"/>
    <d v="2025-02-27T00:00:00"/>
    <d v="2025-03-15T00:00:00"/>
    <n v="129822"/>
    <s v="Private"/>
    <s v="Card"/>
    <x v="4"/>
    <s v="Follow-up"/>
    <n v="3"/>
  </r>
  <r>
    <s v="P0134"/>
    <n v="69"/>
    <s v="Male"/>
    <s v="Respiratory"/>
    <s v="Orthopedics"/>
    <s v="Dr. Meena"/>
    <d v="2025-08-14T00:00:00"/>
    <d v="2025-08-22T00:00:00"/>
    <n v="90240"/>
    <s v="Government"/>
    <s v="Card"/>
    <x v="1"/>
    <s v="Follow-up"/>
    <n v="4"/>
  </r>
  <r>
    <s v="P0135"/>
    <n v="80"/>
    <s v="Female"/>
    <s v="Cardiac"/>
    <s v="Neurology"/>
    <s v="Dr. Kumar"/>
    <d v="2025-06-11T00:00:00"/>
    <d v="2025-06-24T00:00:00"/>
    <n v="197262"/>
    <s v="Government"/>
    <s v="Card"/>
    <x v="0"/>
    <s v="Follow-up"/>
    <n v="1"/>
  </r>
  <r>
    <s v="P0136"/>
    <n v="44"/>
    <s v="Male"/>
    <s v="Diabetes"/>
    <s v="Oncology"/>
    <s v="Dr. Priya"/>
    <d v="2025-10-11T00:00:00"/>
    <d v="2025-10-26T00:00:00"/>
    <n v="172769"/>
    <s v="Corporate"/>
    <s v="UPI"/>
    <x v="1"/>
    <s v="Follow-up"/>
    <n v="5"/>
  </r>
  <r>
    <s v="P0137"/>
    <n v="66"/>
    <s v="Male"/>
    <s v="Diabetes"/>
    <s v="Neurology"/>
    <s v="Dr. Priya"/>
    <d v="2025-12-13T00:00:00"/>
    <d v="2025-12-28T00:00:00"/>
    <n v="88470"/>
    <s v="Private"/>
    <s v="Card"/>
    <x v="1"/>
    <s v="Recovered"/>
    <n v="2"/>
  </r>
  <r>
    <s v="P0138"/>
    <n v="66"/>
    <s v="Male"/>
    <s v="Respiratory"/>
    <s v="Oncology"/>
    <s v="Dr. Meena"/>
    <d v="2024-12-03T00:00:00"/>
    <d v="2024-12-22T00:00:00"/>
    <n v="19472"/>
    <s v="Private"/>
    <s v="UPI"/>
    <x v="3"/>
    <s v="Follow-up"/>
    <n v="4"/>
  </r>
  <r>
    <s v="P0139"/>
    <n v="23"/>
    <s v="Male"/>
    <s v="Neurological"/>
    <s v="Oncology"/>
    <s v="Dr. Raj"/>
    <d v="2025-09-22T00:00:00"/>
    <d v="2025-10-07T00:00:00"/>
    <n v="54045"/>
    <s v="Private"/>
    <s v="Cash"/>
    <x v="0"/>
    <s v="Recovered"/>
    <n v="5"/>
  </r>
  <r>
    <s v="P0140"/>
    <n v="85"/>
    <s v="Female"/>
    <s v="Diabetes"/>
    <s v="Pulmonology"/>
    <s v="Dr. Kumar"/>
    <d v="2025-01-24T00:00:00"/>
    <d v="2025-02-02T00:00:00"/>
    <n v="159024"/>
    <s v="None"/>
    <s v="Card"/>
    <x v="2"/>
    <s v="Recovered"/>
    <n v="1"/>
  </r>
  <r>
    <s v="P0141"/>
    <n v="78"/>
    <s v="Male"/>
    <s v="Cancer"/>
    <s v="Cardiology"/>
    <s v="Dr. Arun"/>
    <d v="2024-06-22T00:00:00"/>
    <d v="2024-07-09T00:00:00"/>
    <n v="220263"/>
    <s v="Government"/>
    <s v="Insurance Claim"/>
    <x v="1"/>
    <s v="Under Treatment"/>
    <n v="1"/>
  </r>
  <r>
    <s v="P0142"/>
    <n v="18"/>
    <s v="Male"/>
    <s v="Infection"/>
    <s v="General Medicine"/>
    <s v="Dr. Kumar"/>
    <d v="2025-09-19T00:00:00"/>
    <d v="2025-09-23T00:00:00"/>
    <n v="83785"/>
    <s v="Private"/>
    <s v="Card"/>
    <x v="4"/>
    <s v="Follow-up"/>
    <n v="4"/>
  </r>
  <r>
    <s v="P0143"/>
    <n v="49"/>
    <s v="Male"/>
    <s v="Cardiac"/>
    <s v="Cardiology"/>
    <s v="Dr. Priya"/>
    <d v="2024-06-26T00:00:00"/>
    <d v="2024-06-28T00:00:00"/>
    <n v="236470"/>
    <s v="None"/>
    <s v="Card"/>
    <x v="1"/>
    <s v="Follow-up"/>
    <n v="5"/>
  </r>
  <r>
    <s v="P0144"/>
    <n v="26"/>
    <s v="Male"/>
    <s v="Respiratory"/>
    <s v="Pulmonology"/>
    <s v="Dr. Meena"/>
    <d v="2024-08-25T00:00:00"/>
    <d v="2024-08-26T00:00:00"/>
    <n v="63168"/>
    <s v="Government"/>
    <s v="UPI"/>
    <x v="4"/>
    <s v="Recovered"/>
    <n v="1"/>
  </r>
  <r>
    <s v="P0145"/>
    <n v="71"/>
    <s v="Female"/>
    <s v="Respiratory"/>
    <s v="Pulmonology"/>
    <s v="Dr. Kumar"/>
    <d v="2024-07-21T00:00:00"/>
    <d v="2024-08-04T00:00:00"/>
    <n v="115186"/>
    <s v="Corporate"/>
    <s v="UPI"/>
    <x v="0"/>
    <s v="Under Treatment"/>
    <n v="1"/>
  </r>
  <r>
    <s v="P0146"/>
    <n v="40"/>
    <s v="Female"/>
    <s v="Orthopedic"/>
    <s v="Pulmonology"/>
    <s v="Dr. Arun"/>
    <d v="2024-07-29T00:00:00"/>
    <d v="2024-08-02T00:00:00"/>
    <n v="72085"/>
    <s v="Corporate"/>
    <s v="Insurance Claim"/>
    <x v="1"/>
    <s v="Under Treatment"/>
    <n v="3"/>
  </r>
  <r>
    <s v="P0147"/>
    <n v="83"/>
    <s v="Male"/>
    <s v="Cardiac"/>
    <s v="Pulmonology"/>
    <s v="Dr. Kumar"/>
    <d v="2025-12-29T00:00:00"/>
    <d v="2026-01-17T00:00:00"/>
    <n v="56010"/>
    <s v="None"/>
    <s v="Card"/>
    <x v="1"/>
    <s v="Under Treatment"/>
    <n v="2"/>
  </r>
  <r>
    <s v="P0148"/>
    <n v="76"/>
    <s v="Female"/>
    <s v="Cancer"/>
    <s v="Orthopedics"/>
    <s v="Dr. Meena"/>
    <d v="2025-04-29T00:00:00"/>
    <d v="2025-05-05T00:00:00"/>
    <n v="118369"/>
    <s v="Government"/>
    <s v="UPI"/>
    <x v="2"/>
    <s v="Follow-up"/>
    <n v="1"/>
  </r>
  <r>
    <s v="P0149"/>
    <n v="42"/>
    <s v="Male"/>
    <s v="Infection"/>
    <s v="General Medicine"/>
    <s v="Dr. Priya"/>
    <d v="2024-06-17T00:00:00"/>
    <d v="2024-07-03T00:00:00"/>
    <n v="68757"/>
    <s v="None"/>
    <s v="Card"/>
    <x v="4"/>
    <s v="Under Treatment"/>
    <n v="5"/>
  </r>
  <r>
    <s v="P0150"/>
    <n v="50"/>
    <s v="Female"/>
    <s v="Diabetes"/>
    <s v="Pulmonology"/>
    <s v="Dr. Priya"/>
    <d v="2024-09-13T00:00:00"/>
    <d v="2024-09-24T00:00:00"/>
    <n v="46071"/>
    <s v="Government"/>
    <s v="UPI"/>
    <x v="1"/>
    <s v="Recovered"/>
    <n v="3"/>
  </r>
  <r>
    <s v="P0151"/>
    <n v="37"/>
    <s v="Female"/>
    <s v="Diabetes"/>
    <s v="Cardiology"/>
    <s v="Dr. Raj"/>
    <d v="2024-08-10T00:00:00"/>
    <d v="2024-08-23T00:00:00"/>
    <n v="209303"/>
    <s v="Private"/>
    <s v="Insurance Claim"/>
    <x v="2"/>
    <s v="Under Treatment"/>
    <n v="4"/>
  </r>
  <r>
    <s v="P0152"/>
    <n v="48"/>
    <s v="Female"/>
    <s v="Neurological"/>
    <s v="Neurology"/>
    <s v="Dr. Priya"/>
    <d v="2024-04-12T00:00:00"/>
    <d v="2024-04-18T00:00:00"/>
    <n v="22854"/>
    <s v="Government"/>
    <s v="UPI"/>
    <x v="1"/>
    <s v="Follow-up"/>
    <n v="2"/>
  </r>
  <r>
    <s v="P0153"/>
    <n v="33"/>
    <s v="Female"/>
    <s v="Orthopedic"/>
    <s v="Neurology"/>
    <s v="Dr. Meena"/>
    <d v="2024-03-11T00:00:00"/>
    <d v="2024-03-16T00:00:00"/>
    <n v="105504"/>
    <s v="Government"/>
    <s v="Insurance Claim"/>
    <x v="4"/>
    <s v="Follow-up"/>
    <n v="1"/>
  </r>
  <r>
    <s v="P0154"/>
    <n v="37"/>
    <s v="Male"/>
    <s v="Cancer"/>
    <s v="Orthopedics"/>
    <s v="Dr. Arun"/>
    <d v="2025-06-13T00:00:00"/>
    <d v="2025-07-02T00:00:00"/>
    <n v="77793"/>
    <s v="Government"/>
    <s v="Insurance Claim"/>
    <x v="0"/>
    <s v="Recovered"/>
    <n v="1"/>
  </r>
  <r>
    <s v="P0155"/>
    <n v="69"/>
    <s v="Male"/>
    <s v="Infection"/>
    <s v="General Medicine"/>
    <s v="Dr. Arun"/>
    <d v="2025-12-13T00:00:00"/>
    <d v="2025-12-20T00:00:00"/>
    <n v="139349"/>
    <s v="Private"/>
    <s v="UPI"/>
    <x v="4"/>
    <s v="Recovered"/>
    <n v="5"/>
  </r>
  <r>
    <s v="P0156"/>
    <n v="37"/>
    <s v="Male"/>
    <s v="Respiratory"/>
    <s v="General Medicine"/>
    <s v="Dr. Meena"/>
    <d v="2024-04-21T00:00:00"/>
    <d v="2024-04-25T00:00:00"/>
    <n v="80456"/>
    <s v="None"/>
    <s v="UPI"/>
    <x v="0"/>
    <s v="Follow-up"/>
    <n v="5"/>
  </r>
  <r>
    <s v="P0157"/>
    <n v="60"/>
    <s v="Female"/>
    <s v="Infection"/>
    <s v="Pulmonology"/>
    <s v="Dr. Meena"/>
    <d v="2024-10-27T00:00:00"/>
    <d v="2024-11-07T00:00:00"/>
    <n v="170508"/>
    <s v="None"/>
    <s v="Cash"/>
    <x v="1"/>
    <s v="Follow-up"/>
    <n v="1"/>
  </r>
  <r>
    <s v="P0158"/>
    <n v="56"/>
    <s v="Male"/>
    <s v="Diabetes"/>
    <s v="Oncology"/>
    <s v="Dr. Kumar"/>
    <d v="2025-03-11T00:00:00"/>
    <d v="2025-03-13T00:00:00"/>
    <n v="150058"/>
    <s v="Private"/>
    <s v="Insurance Claim"/>
    <x v="3"/>
    <s v="Follow-up"/>
    <n v="2"/>
  </r>
  <r>
    <s v="P0159"/>
    <n v="80"/>
    <s v="Male"/>
    <s v="Neurological"/>
    <s v="Pulmonology"/>
    <s v="Dr. Arun"/>
    <d v="2024-08-30T00:00:00"/>
    <d v="2024-08-31T00:00:00"/>
    <n v="133382"/>
    <s v="Government"/>
    <s v="UPI"/>
    <x v="0"/>
    <s v="Under Treatment"/>
    <n v="2"/>
  </r>
  <r>
    <s v="P0160"/>
    <n v="23"/>
    <s v="Male"/>
    <s v="Cancer"/>
    <s v="Neurology"/>
    <s v="Dr. Arun"/>
    <d v="2024-01-17T00:00:00"/>
    <d v="2024-01-23T00:00:00"/>
    <n v="195577"/>
    <s v="Government"/>
    <s v="Card"/>
    <x v="1"/>
    <s v="Follow-up"/>
    <n v="5"/>
  </r>
  <r>
    <s v="P0161"/>
    <n v="70"/>
    <s v="Male"/>
    <s v="Infection"/>
    <s v="Neurology"/>
    <s v="Dr. Meena"/>
    <d v="2025-04-16T00:00:00"/>
    <d v="2025-04-17T00:00:00"/>
    <n v="69573"/>
    <s v="Private"/>
    <s v="Insurance Claim"/>
    <x v="3"/>
    <s v="Under Treatment"/>
    <n v="1"/>
  </r>
  <r>
    <s v="P0162"/>
    <n v="75"/>
    <s v="Female"/>
    <s v="Cancer"/>
    <s v="Orthopedics"/>
    <s v="Dr. Meena"/>
    <d v="2025-12-19T00:00:00"/>
    <d v="2026-01-03T00:00:00"/>
    <n v="57959"/>
    <s v="Corporate"/>
    <s v="UPI"/>
    <x v="2"/>
    <s v="Under Treatment"/>
    <n v="3"/>
  </r>
  <r>
    <s v="P0163"/>
    <n v="33"/>
    <s v="Female"/>
    <s v="Neurological"/>
    <s v="Neurology"/>
    <s v="Dr. Meena"/>
    <d v="2025-10-08T00:00:00"/>
    <d v="2025-10-22T00:00:00"/>
    <n v="8435"/>
    <s v="None"/>
    <s v="Card"/>
    <x v="4"/>
    <s v="Follow-up"/>
    <n v="1"/>
  </r>
  <r>
    <s v="P0164"/>
    <n v="52"/>
    <s v="Male"/>
    <s v="Orthopedic"/>
    <s v="Orthopedics"/>
    <s v="Dr. Raj"/>
    <d v="2024-09-03T00:00:00"/>
    <d v="2024-09-09T00:00:00"/>
    <n v="53147"/>
    <s v="Corporate"/>
    <s v="Card"/>
    <x v="2"/>
    <s v="Recovered"/>
    <n v="1"/>
  </r>
  <r>
    <s v="P0165"/>
    <n v="69"/>
    <s v="Female"/>
    <s v="Infection"/>
    <s v="Pulmonology"/>
    <s v="Dr. Raj"/>
    <d v="2025-11-26T00:00:00"/>
    <d v="2025-12-02T00:00:00"/>
    <n v="46295"/>
    <s v="Private"/>
    <s v="Insurance Claim"/>
    <x v="3"/>
    <s v="Follow-up"/>
    <n v="5"/>
  </r>
  <r>
    <s v="P0166"/>
    <n v="34"/>
    <s v="Female"/>
    <s v="Cardiac"/>
    <s v="General Medicine"/>
    <s v="Dr. Priya"/>
    <d v="2025-05-14T00:00:00"/>
    <d v="2025-05-16T00:00:00"/>
    <n v="233010"/>
    <s v="Corporate"/>
    <s v="Cash"/>
    <x v="1"/>
    <s v="Recovered"/>
    <n v="5"/>
  </r>
  <r>
    <s v="P0167"/>
    <n v="79"/>
    <s v="Male"/>
    <s v="Orthopedic"/>
    <s v="Neurology"/>
    <s v="Dr. Priya"/>
    <d v="2025-01-25T00:00:00"/>
    <d v="2025-02-12T00:00:00"/>
    <n v="221369"/>
    <s v="None"/>
    <s v="Cash"/>
    <x v="3"/>
    <s v="Recovered"/>
    <n v="5"/>
  </r>
  <r>
    <s v="P0168"/>
    <n v="71"/>
    <s v="Male"/>
    <s v="Diabetes"/>
    <s v="Cardiology"/>
    <s v="Dr. Arun"/>
    <d v="2024-12-31T00:00:00"/>
    <d v="2025-01-07T00:00:00"/>
    <n v="156452"/>
    <s v="Corporate"/>
    <s v="UPI"/>
    <x v="1"/>
    <s v="Recovered"/>
    <n v="4"/>
  </r>
  <r>
    <s v="P0169"/>
    <n v="40"/>
    <s v="Male"/>
    <s v="Orthopedic"/>
    <s v="General Medicine"/>
    <s v="Dr. Arun"/>
    <d v="2025-04-25T00:00:00"/>
    <d v="2025-05-07T00:00:00"/>
    <n v="197059"/>
    <s v="None"/>
    <s v="UPI"/>
    <x v="0"/>
    <s v="Follow-up"/>
    <n v="5"/>
  </r>
  <r>
    <s v="P0170"/>
    <n v="49"/>
    <s v="Male"/>
    <s v="Respiratory"/>
    <s v="Cardiology"/>
    <s v="Dr. Priya"/>
    <d v="2025-06-22T00:00:00"/>
    <d v="2025-07-08T00:00:00"/>
    <n v="156278"/>
    <s v="Private"/>
    <s v="Cash"/>
    <x v="0"/>
    <s v="Under Treatment"/>
    <n v="4"/>
  </r>
  <r>
    <s v="P0171"/>
    <n v="63"/>
    <s v="Male"/>
    <s v="Cancer"/>
    <s v="Oncology"/>
    <s v="Dr. Kumar"/>
    <d v="2024-08-13T00:00:00"/>
    <d v="2024-08-28T00:00:00"/>
    <n v="137111"/>
    <s v="None"/>
    <s v="Insurance Claim"/>
    <x v="0"/>
    <s v="Recovered"/>
    <n v="4"/>
  </r>
  <r>
    <s v="P0172"/>
    <n v="23"/>
    <s v="Male"/>
    <s v="Cardiac"/>
    <s v="General Medicine"/>
    <s v="Dr. Arun"/>
    <d v="2025-03-29T00:00:00"/>
    <d v="2025-04-04T00:00:00"/>
    <n v="101754"/>
    <s v="Private"/>
    <s v="UPI"/>
    <x v="1"/>
    <s v="Follow-up"/>
    <n v="5"/>
  </r>
  <r>
    <s v="P0173"/>
    <n v="65"/>
    <s v="Male"/>
    <s v="Neurological"/>
    <s v="Orthopedics"/>
    <s v="Dr. Raj"/>
    <d v="2024-10-17T00:00:00"/>
    <d v="2024-10-19T00:00:00"/>
    <n v="159749"/>
    <s v="None"/>
    <s v="Card"/>
    <x v="2"/>
    <s v="Under Treatment"/>
    <n v="4"/>
  </r>
  <r>
    <s v="P0174"/>
    <n v="74"/>
    <s v="Female"/>
    <s v="Cardiac"/>
    <s v="Neurology"/>
    <s v="Dr. Kumar"/>
    <d v="2025-06-13T00:00:00"/>
    <d v="2025-06-15T00:00:00"/>
    <n v="142859"/>
    <s v="None"/>
    <s v="UPI"/>
    <x v="0"/>
    <s v="Follow-up"/>
    <n v="3"/>
  </r>
  <r>
    <s v="P0175"/>
    <n v="27"/>
    <s v="Female"/>
    <s v="Infection"/>
    <s v="Orthopedics"/>
    <s v="Dr. Kumar"/>
    <d v="2025-10-24T00:00:00"/>
    <d v="2025-10-26T00:00:00"/>
    <n v="79866"/>
    <s v="Corporate"/>
    <s v="Card"/>
    <x v="0"/>
    <s v="Under Treatment"/>
    <n v="4"/>
  </r>
  <r>
    <s v="P0176"/>
    <n v="57"/>
    <s v="Male"/>
    <s v="Orthopedic"/>
    <s v="Orthopedics"/>
    <s v="Dr. Arun"/>
    <d v="2024-05-27T00:00:00"/>
    <d v="2024-05-28T00:00:00"/>
    <n v="65118"/>
    <s v="Private"/>
    <s v="Card"/>
    <x v="0"/>
    <s v="Under Treatment"/>
    <n v="1"/>
  </r>
  <r>
    <s v="P0177"/>
    <n v="19"/>
    <s v="Male"/>
    <s v="Respiratory"/>
    <s v="Neurology"/>
    <s v="Dr. Priya"/>
    <d v="2025-06-12T00:00:00"/>
    <d v="2025-06-19T00:00:00"/>
    <n v="49466"/>
    <s v="Private"/>
    <s v="Insurance Claim"/>
    <x v="1"/>
    <s v="Under Treatment"/>
    <n v="5"/>
  </r>
  <r>
    <s v="P0178"/>
    <n v="39"/>
    <s v="Male"/>
    <s v="Cancer"/>
    <s v="Oncology"/>
    <s v="Dr. Arun"/>
    <d v="2024-02-13T00:00:00"/>
    <d v="2024-02-24T00:00:00"/>
    <n v="226892"/>
    <s v="Corporate"/>
    <s v="UPI"/>
    <x v="1"/>
    <s v="Follow-up"/>
    <n v="3"/>
  </r>
  <r>
    <s v="P0179"/>
    <n v="81"/>
    <s v="Male"/>
    <s v="Infection"/>
    <s v="Cardiology"/>
    <s v="Dr. Meena"/>
    <d v="2025-01-09T00:00:00"/>
    <d v="2025-01-23T00:00:00"/>
    <n v="124835"/>
    <s v="Government"/>
    <s v="UPI"/>
    <x v="2"/>
    <s v="Under Treatment"/>
    <n v="5"/>
  </r>
  <r>
    <s v="P0180"/>
    <n v="45"/>
    <s v="Female"/>
    <s v="Neurological"/>
    <s v="General Medicine"/>
    <s v="Dr. Meena"/>
    <d v="2024-05-08T00:00:00"/>
    <d v="2024-05-26T00:00:00"/>
    <n v="113054"/>
    <s v="Government"/>
    <s v="Insurance Claim"/>
    <x v="0"/>
    <s v="Follow-up"/>
    <n v="2"/>
  </r>
  <r>
    <s v="P0181"/>
    <n v="39"/>
    <s v="Female"/>
    <s v="Respiratory"/>
    <s v="Oncology"/>
    <s v="Dr. Raj"/>
    <d v="2025-04-06T00:00:00"/>
    <d v="2025-04-13T00:00:00"/>
    <n v="85670"/>
    <s v="Corporate"/>
    <s v="Insurance Claim"/>
    <x v="1"/>
    <s v="Follow-up"/>
    <n v="5"/>
  </r>
  <r>
    <s v="P0182"/>
    <n v="61"/>
    <s v="Male"/>
    <s v="Orthopedic"/>
    <s v="Orthopedics"/>
    <s v="Dr. Priya"/>
    <d v="2025-09-04T00:00:00"/>
    <d v="2025-09-23T00:00:00"/>
    <n v="165807"/>
    <s v="Government"/>
    <s v="Cash"/>
    <x v="0"/>
    <s v="Under Treatment"/>
    <n v="5"/>
  </r>
  <r>
    <s v="P0183"/>
    <n v="64"/>
    <s v="Male"/>
    <s v="Diabetes"/>
    <s v="Orthopedics"/>
    <s v="Dr. Raj"/>
    <d v="2025-04-29T00:00:00"/>
    <d v="2025-05-06T00:00:00"/>
    <n v="48096"/>
    <s v="Private"/>
    <s v="UPI"/>
    <x v="1"/>
    <s v="Follow-up"/>
    <n v="3"/>
  </r>
  <r>
    <s v="P0184"/>
    <n v="19"/>
    <s v="Female"/>
    <s v="Infection"/>
    <s v="Neurology"/>
    <s v="Dr. Meena"/>
    <d v="2025-08-08T00:00:00"/>
    <d v="2025-08-23T00:00:00"/>
    <n v="225339"/>
    <s v="None"/>
    <s v="UPI"/>
    <x v="4"/>
    <s v="Under Treatment"/>
    <n v="1"/>
  </r>
  <r>
    <s v="P0185"/>
    <n v="49"/>
    <s v="Female"/>
    <s v="Infection"/>
    <s v="Oncology"/>
    <s v="Dr. Raj"/>
    <d v="2024-06-03T00:00:00"/>
    <d v="2024-06-17T00:00:00"/>
    <n v="152999"/>
    <s v="Private"/>
    <s v="Insurance Claim"/>
    <x v="4"/>
    <s v="Recovered"/>
    <n v="4"/>
  </r>
  <r>
    <s v="P0186"/>
    <n v="37"/>
    <s v="Female"/>
    <s v="Cardiac"/>
    <s v="Oncology"/>
    <s v="Dr. Arun"/>
    <d v="2025-05-24T00:00:00"/>
    <d v="2025-06-02T00:00:00"/>
    <n v="177657"/>
    <s v="None"/>
    <s v="Card"/>
    <x v="2"/>
    <s v="Recovered"/>
    <n v="3"/>
  </r>
  <r>
    <s v="P0187"/>
    <n v="21"/>
    <s v="Male"/>
    <s v="Respiratory"/>
    <s v="Oncology"/>
    <s v="Dr. Arun"/>
    <d v="2025-04-19T00:00:00"/>
    <d v="2025-05-09T00:00:00"/>
    <n v="117612"/>
    <s v="Corporate"/>
    <s v="Insurance Claim"/>
    <x v="0"/>
    <s v="Recovered"/>
    <n v="3"/>
  </r>
  <r>
    <s v="P0188"/>
    <n v="39"/>
    <s v="Female"/>
    <s v="Orthopedic"/>
    <s v="General Medicine"/>
    <s v="Dr. Priya"/>
    <d v="2025-02-16T00:00:00"/>
    <d v="2025-02-28T00:00:00"/>
    <n v="64512"/>
    <s v="Private"/>
    <s v="Cash"/>
    <x v="0"/>
    <s v="Recovered"/>
    <n v="5"/>
  </r>
  <r>
    <s v="P0189"/>
    <n v="46"/>
    <s v="Male"/>
    <s v="Cancer"/>
    <s v="General Medicine"/>
    <s v="Dr. Kumar"/>
    <d v="2024-04-23T00:00:00"/>
    <d v="2024-05-08T00:00:00"/>
    <n v="47747"/>
    <s v="Corporate"/>
    <s v="Cash"/>
    <x v="4"/>
    <s v="Follow-up"/>
    <n v="2"/>
  </r>
  <r>
    <s v="P0190"/>
    <n v="79"/>
    <s v="Male"/>
    <s v="Cancer"/>
    <s v="Neurology"/>
    <s v="Dr. Arun"/>
    <d v="2024-04-17T00:00:00"/>
    <d v="2024-04-26T00:00:00"/>
    <n v="29295"/>
    <s v="Corporate"/>
    <s v="Insurance Claim"/>
    <x v="4"/>
    <s v="Follow-up"/>
    <n v="2"/>
  </r>
  <r>
    <s v="P0191"/>
    <n v="34"/>
    <s v="Male"/>
    <s v="Orthopedic"/>
    <s v="Oncology"/>
    <s v="Dr. Raj"/>
    <d v="2024-10-15T00:00:00"/>
    <d v="2024-10-20T00:00:00"/>
    <n v="14328"/>
    <s v="Corporate"/>
    <s v="UPI"/>
    <x v="0"/>
    <s v="Under Treatment"/>
    <n v="3"/>
  </r>
  <r>
    <s v="P0192"/>
    <n v="85"/>
    <s v="Female"/>
    <s v="Diabetes"/>
    <s v="Neurology"/>
    <s v="Dr. Priya"/>
    <d v="2025-12-16T00:00:00"/>
    <d v="2025-12-17T00:00:00"/>
    <n v="39410"/>
    <s v="Government"/>
    <s v="Cash"/>
    <x v="4"/>
    <s v="Follow-up"/>
    <n v="1"/>
  </r>
  <r>
    <s v="P0193"/>
    <n v="25"/>
    <s v="Male"/>
    <s v="Cardiac"/>
    <s v="Orthopedics"/>
    <s v="Dr. Raj"/>
    <d v="2025-02-24T00:00:00"/>
    <d v="2025-03-05T00:00:00"/>
    <n v="19302"/>
    <s v="Corporate"/>
    <s v="Cash"/>
    <x v="3"/>
    <s v="Under Treatment"/>
    <n v="3"/>
  </r>
  <r>
    <s v="P0194"/>
    <n v="48"/>
    <s v="Male"/>
    <s v="Cardiac"/>
    <s v="Pulmonology"/>
    <s v="Dr. Arun"/>
    <d v="2024-01-31T00:00:00"/>
    <d v="2024-02-04T00:00:00"/>
    <n v="217449"/>
    <s v="None"/>
    <s v="Card"/>
    <x v="3"/>
    <s v="Recovered"/>
    <n v="4"/>
  </r>
  <r>
    <s v="P0195"/>
    <n v="61"/>
    <s v="Male"/>
    <s v="Infection"/>
    <s v="Pulmonology"/>
    <s v="Dr. Meena"/>
    <d v="2025-05-16T00:00:00"/>
    <d v="2025-06-03T00:00:00"/>
    <n v="234137"/>
    <s v="Corporate"/>
    <s v="Cash"/>
    <x v="1"/>
    <s v="Under Treatment"/>
    <n v="4"/>
  </r>
  <r>
    <s v="P0196"/>
    <n v="21"/>
    <s v="Female"/>
    <s v="Infection"/>
    <s v="Neurology"/>
    <s v="Dr. Priya"/>
    <d v="2024-03-24T00:00:00"/>
    <d v="2024-04-08T00:00:00"/>
    <n v="33092"/>
    <s v="Government"/>
    <s v="UPI"/>
    <x v="1"/>
    <s v="Under Treatment"/>
    <n v="2"/>
  </r>
  <r>
    <s v="P0197"/>
    <n v="47"/>
    <s v="Female"/>
    <s v="Cardiac"/>
    <s v="General Medicine"/>
    <s v="Dr. Kumar"/>
    <d v="2024-04-14T00:00:00"/>
    <d v="2024-04-19T00:00:00"/>
    <n v="23871"/>
    <s v="Government"/>
    <s v="Insurance Claim"/>
    <x v="4"/>
    <s v="Under Treatment"/>
    <n v="4"/>
  </r>
  <r>
    <s v="P0198"/>
    <n v="22"/>
    <s v="Male"/>
    <s v="Respiratory"/>
    <s v="Neurology"/>
    <s v="Dr. Raj"/>
    <d v="2024-09-07T00:00:00"/>
    <d v="2024-09-14T00:00:00"/>
    <n v="26433"/>
    <s v="Private"/>
    <s v="Insurance Claim"/>
    <x v="2"/>
    <s v="Under Treatment"/>
    <n v="5"/>
  </r>
  <r>
    <s v="P0199"/>
    <n v="43"/>
    <s v="Male"/>
    <s v="Neurological"/>
    <s v="Neurology"/>
    <s v="Dr. Raj"/>
    <d v="2024-08-09T00:00:00"/>
    <d v="2024-08-15T00:00:00"/>
    <n v="49538"/>
    <s v="Government"/>
    <s v="UPI"/>
    <x v="2"/>
    <s v="Follow-up"/>
    <n v="5"/>
  </r>
  <r>
    <s v="P0200"/>
    <n v="67"/>
    <s v="Female"/>
    <s v="Orthopedic"/>
    <s v="Orthopedics"/>
    <s v="Dr. Arun"/>
    <d v="2025-08-15T00:00:00"/>
    <d v="2025-08-27T00:00:00"/>
    <n v="178318"/>
    <s v="Private"/>
    <s v="Cash"/>
    <x v="1"/>
    <s v="Follow-up"/>
    <n v="4"/>
  </r>
  <r>
    <s v="P0201"/>
    <n v="53"/>
    <s v="Female"/>
    <s v="Cancer"/>
    <s v="Neurology"/>
    <s v="Dr. Raj"/>
    <d v="2024-09-18T00:00:00"/>
    <d v="2024-10-07T00:00:00"/>
    <n v="77730"/>
    <s v="None"/>
    <s v="Cash"/>
    <x v="0"/>
    <s v="Under Treatment"/>
    <n v="1"/>
  </r>
  <r>
    <s v="P0202"/>
    <n v="76"/>
    <s v="Male"/>
    <s v="Neurological"/>
    <s v="General Medicine"/>
    <s v="Dr. Kumar"/>
    <d v="2024-10-15T00:00:00"/>
    <d v="2024-10-24T00:00:00"/>
    <n v="111051"/>
    <s v="Government"/>
    <s v="Cash"/>
    <x v="1"/>
    <s v="Follow-up"/>
    <n v="5"/>
  </r>
  <r>
    <s v="P0203"/>
    <n v="53"/>
    <s v="Female"/>
    <s v="Diabetes"/>
    <s v="Pulmonology"/>
    <s v="Dr. Priya"/>
    <d v="2024-04-25T00:00:00"/>
    <d v="2024-05-12T00:00:00"/>
    <n v="41337"/>
    <s v="None"/>
    <s v="Cash"/>
    <x v="4"/>
    <s v="Under Treatment"/>
    <n v="1"/>
  </r>
  <r>
    <s v="P0204"/>
    <n v="49"/>
    <s v="Female"/>
    <s v="Orthopedic"/>
    <s v="Neurology"/>
    <s v="Dr. Meena"/>
    <d v="2025-07-29T00:00:00"/>
    <d v="2025-08-16T00:00:00"/>
    <n v="183685"/>
    <s v="None"/>
    <s v="Cash"/>
    <x v="0"/>
    <s v="Follow-up"/>
    <n v="1"/>
  </r>
  <r>
    <s v="P0205"/>
    <n v="54"/>
    <s v="Male"/>
    <s v="Diabetes"/>
    <s v="General Medicine"/>
    <s v="Dr. Raj"/>
    <d v="2025-09-26T00:00:00"/>
    <d v="2025-10-10T00:00:00"/>
    <n v="170867"/>
    <s v="Government"/>
    <s v="Insurance Claim"/>
    <x v="1"/>
    <s v="Under Treatment"/>
    <n v="1"/>
  </r>
  <r>
    <s v="P0206"/>
    <n v="50"/>
    <s v="Female"/>
    <s v="Orthopedic"/>
    <s v="Orthopedics"/>
    <s v="Dr. Arun"/>
    <d v="2024-12-15T00:00:00"/>
    <d v="2024-12-31T00:00:00"/>
    <n v="94186"/>
    <s v="None"/>
    <s v="Cash"/>
    <x v="2"/>
    <s v="Under Treatment"/>
    <n v="4"/>
  </r>
  <r>
    <s v="P0207"/>
    <n v="23"/>
    <s v="Male"/>
    <s v="Neurological"/>
    <s v="General Medicine"/>
    <s v="Dr. Kumar"/>
    <d v="2024-01-07T00:00:00"/>
    <d v="2024-01-11T00:00:00"/>
    <n v="207028"/>
    <s v="Government"/>
    <s v="Cash"/>
    <x v="1"/>
    <s v="Follow-up"/>
    <n v="3"/>
  </r>
  <r>
    <s v="P0208"/>
    <n v="40"/>
    <s v="Female"/>
    <s v="Diabetes"/>
    <s v="General Medicine"/>
    <s v="Dr. Priya"/>
    <d v="2025-11-17T00:00:00"/>
    <d v="2025-12-04T00:00:00"/>
    <n v="157714"/>
    <s v="Corporate"/>
    <s v="Cash"/>
    <x v="2"/>
    <s v="Recovered"/>
    <n v="4"/>
  </r>
  <r>
    <s v="P0209"/>
    <n v="44"/>
    <s v="Male"/>
    <s v="Cancer"/>
    <s v="Orthopedics"/>
    <s v="Dr. Raj"/>
    <d v="2025-10-28T00:00:00"/>
    <d v="2025-11-16T00:00:00"/>
    <n v="185220"/>
    <s v="None"/>
    <s v="UPI"/>
    <x v="0"/>
    <s v="Under Treatment"/>
    <n v="5"/>
  </r>
  <r>
    <s v="P0210"/>
    <n v="22"/>
    <s v="Female"/>
    <s v="Orthopedic"/>
    <s v="Orthopedics"/>
    <s v="Dr. Arun"/>
    <d v="2024-08-10T00:00:00"/>
    <d v="2024-08-14T00:00:00"/>
    <n v="107362"/>
    <s v="Private"/>
    <s v="Card"/>
    <x v="4"/>
    <s v="Under Treatment"/>
    <n v="5"/>
  </r>
  <r>
    <s v="P0211"/>
    <n v="30"/>
    <s v="Female"/>
    <s v="Diabetes"/>
    <s v="Pulmonology"/>
    <s v="Dr. Kumar"/>
    <d v="2025-02-17T00:00:00"/>
    <d v="2025-02-28T00:00:00"/>
    <n v="118238"/>
    <s v="Government"/>
    <s v="Insurance Claim"/>
    <x v="0"/>
    <s v="Recovered"/>
    <n v="4"/>
  </r>
  <r>
    <s v="P0212"/>
    <n v="33"/>
    <s v="Female"/>
    <s v="Cardiac"/>
    <s v="Neurology"/>
    <s v="Dr. Meena"/>
    <d v="2024-03-17T00:00:00"/>
    <d v="2024-04-03T00:00:00"/>
    <n v="24163"/>
    <s v="None"/>
    <s v="UPI"/>
    <x v="1"/>
    <s v="Recovered"/>
    <n v="4"/>
  </r>
  <r>
    <s v="P0213"/>
    <n v="25"/>
    <s v="Male"/>
    <s v="Orthopedic"/>
    <s v="Cardiology"/>
    <s v="Dr. Kumar"/>
    <d v="2025-06-22T00:00:00"/>
    <d v="2025-07-03T00:00:00"/>
    <n v="106328"/>
    <s v="Corporate"/>
    <s v="Cash"/>
    <x v="3"/>
    <s v="Recovered"/>
    <n v="5"/>
  </r>
  <r>
    <s v="P0214"/>
    <n v="39"/>
    <s v="Male"/>
    <s v="Neurological"/>
    <s v="Neurology"/>
    <s v="Dr. Kumar"/>
    <d v="2024-10-02T00:00:00"/>
    <d v="2024-10-07T00:00:00"/>
    <n v="155015"/>
    <s v="Private"/>
    <s v="Card"/>
    <x v="2"/>
    <s v="Follow-up"/>
    <n v="4"/>
  </r>
  <r>
    <s v="P0215"/>
    <n v="33"/>
    <s v="Female"/>
    <s v="Neurological"/>
    <s v="Neurology"/>
    <s v="Dr. Priya"/>
    <d v="2024-05-31T00:00:00"/>
    <d v="2024-06-08T00:00:00"/>
    <n v="26021"/>
    <s v="None"/>
    <s v="Cash"/>
    <x v="2"/>
    <s v="Under Treatment"/>
    <n v="3"/>
  </r>
  <r>
    <s v="P0216"/>
    <n v="38"/>
    <s v="Female"/>
    <s v="Diabetes"/>
    <s v="Orthopedics"/>
    <s v="Dr. Raj"/>
    <d v="2024-06-16T00:00:00"/>
    <d v="2024-06-17T00:00:00"/>
    <n v="67746"/>
    <s v="Private"/>
    <s v="Cash"/>
    <x v="0"/>
    <s v="Recovered"/>
    <n v="3"/>
  </r>
  <r>
    <s v="P0217"/>
    <n v="69"/>
    <s v="Male"/>
    <s v="Cancer"/>
    <s v="Oncology"/>
    <s v="Dr. Arun"/>
    <d v="2024-10-17T00:00:00"/>
    <d v="2024-10-26T00:00:00"/>
    <n v="209187"/>
    <s v="Corporate"/>
    <s v="Insurance Claim"/>
    <x v="0"/>
    <s v="Under Treatment"/>
    <n v="1"/>
  </r>
  <r>
    <s v="P0218"/>
    <n v="76"/>
    <s v="Female"/>
    <s v="Cancer"/>
    <s v="General Medicine"/>
    <s v="Dr. Arun"/>
    <d v="2025-07-19T00:00:00"/>
    <d v="2025-07-30T00:00:00"/>
    <n v="190845"/>
    <s v="None"/>
    <s v="UPI"/>
    <x v="0"/>
    <s v="Follow-up"/>
    <n v="1"/>
  </r>
  <r>
    <s v="P0219"/>
    <n v="66"/>
    <s v="Male"/>
    <s v="Orthopedic"/>
    <s v="General Medicine"/>
    <s v="Dr. Meena"/>
    <d v="2024-05-20T00:00:00"/>
    <d v="2024-06-07T00:00:00"/>
    <n v="208235"/>
    <s v="Private"/>
    <s v="Card"/>
    <x v="4"/>
    <s v="Under Treatment"/>
    <n v="1"/>
  </r>
  <r>
    <s v="P0220"/>
    <n v="51"/>
    <s v="Female"/>
    <s v="Cancer"/>
    <s v="Pulmonology"/>
    <s v="Dr. Priya"/>
    <d v="2025-06-18T00:00:00"/>
    <d v="2025-06-19T00:00:00"/>
    <n v="135332"/>
    <s v="Private"/>
    <s v="Cash"/>
    <x v="4"/>
    <s v="Recovered"/>
    <n v="2"/>
  </r>
  <r>
    <s v="P0221"/>
    <n v="72"/>
    <s v="Female"/>
    <s v="Cardiac"/>
    <s v="Neurology"/>
    <s v="Dr. Raj"/>
    <d v="2025-02-19T00:00:00"/>
    <d v="2025-03-05T00:00:00"/>
    <n v="162337"/>
    <s v="Private"/>
    <s v="UPI"/>
    <x v="3"/>
    <s v="Under Treatment"/>
    <n v="4"/>
  </r>
  <r>
    <s v="P0222"/>
    <n v="22"/>
    <s v="Male"/>
    <s v="Respiratory"/>
    <s v="Oncology"/>
    <s v="Dr. Raj"/>
    <d v="2025-02-22T00:00:00"/>
    <d v="2025-03-02T00:00:00"/>
    <n v="243034"/>
    <s v="Corporate"/>
    <s v="Card"/>
    <x v="3"/>
    <s v="Recovered"/>
    <n v="3"/>
  </r>
  <r>
    <s v="P0223"/>
    <n v="81"/>
    <s v="Female"/>
    <s v="Neurological"/>
    <s v="Pulmonology"/>
    <s v="Dr. Raj"/>
    <d v="2024-05-06T00:00:00"/>
    <d v="2024-05-18T00:00:00"/>
    <n v="182799"/>
    <s v="Government"/>
    <s v="Card"/>
    <x v="1"/>
    <s v="Follow-up"/>
    <n v="2"/>
  </r>
  <r>
    <s v="P0224"/>
    <n v="45"/>
    <s v="Female"/>
    <s v="Neurological"/>
    <s v="Orthopedics"/>
    <s v="Dr. Arun"/>
    <d v="2024-09-09T00:00:00"/>
    <d v="2024-09-19T00:00:00"/>
    <n v="81594"/>
    <s v="Corporate"/>
    <s v="Cash"/>
    <x v="3"/>
    <s v="Under Treatment"/>
    <n v="1"/>
  </r>
  <r>
    <s v="P0225"/>
    <n v="33"/>
    <s v="Female"/>
    <s v="Respiratory"/>
    <s v="Oncology"/>
    <s v="Dr. Kumar"/>
    <d v="2025-11-17T00:00:00"/>
    <d v="2025-11-28T00:00:00"/>
    <n v="110837"/>
    <s v="Corporate"/>
    <s v="Cash"/>
    <x v="2"/>
    <s v="Recovered"/>
    <n v="5"/>
  </r>
  <r>
    <s v="P0226"/>
    <n v="27"/>
    <s v="Female"/>
    <s v="Orthopedic"/>
    <s v="Neurology"/>
    <s v="Dr. Meena"/>
    <d v="2024-12-15T00:00:00"/>
    <d v="2025-01-03T00:00:00"/>
    <n v="249707"/>
    <s v="None"/>
    <s v="Cash"/>
    <x v="0"/>
    <s v="Follow-up"/>
    <n v="1"/>
  </r>
  <r>
    <s v="P0227"/>
    <n v="23"/>
    <s v="Male"/>
    <s v="Diabetes"/>
    <s v="Cardiology"/>
    <s v="Dr. Raj"/>
    <d v="2025-11-06T00:00:00"/>
    <d v="2025-11-19T00:00:00"/>
    <n v="21898"/>
    <s v="Corporate"/>
    <s v="Cash"/>
    <x v="4"/>
    <s v="Recovered"/>
    <n v="4"/>
  </r>
  <r>
    <s v="P0228"/>
    <n v="83"/>
    <s v="Female"/>
    <s v="Cancer"/>
    <s v="Pulmonology"/>
    <s v="Dr. Arun"/>
    <d v="2024-07-27T00:00:00"/>
    <d v="2024-08-10T00:00:00"/>
    <n v="118649"/>
    <s v="Corporate"/>
    <s v="UPI"/>
    <x v="4"/>
    <s v="Recovered"/>
    <n v="2"/>
  </r>
  <r>
    <s v="P0229"/>
    <n v="43"/>
    <s v="Female"/>
    <s v="Diabetes"/>
    <s v="Orthopedics"/>
    <s v="Dr. Kumar"/>
    <d v="2025-11-29T00:00:00"/>
    <d v="2025-12-19T00:00:00"/>
    <n v="174592"/>
    <s v="Corporate"/>
    <s v="UPI"/>
    <x v="4"/>
    <s v="Recovered"/>
    <n v="3"/>
  </r>
  <r>
    <s v="P0230"/>
    <n v="78"/>
    <s v="Female"/>
    <s v="Neurological"/>
    <s v="Cardiology"/>
    <s v="Dr. Kumar"/>
    <d v="2025-11-24T00:00:00"/>
    <d v="2025-12-05T00:00:00"/>
    <n v="27900"/>
    <s v="Corporate"/>
    <s v="UPI"/>
    <x v="3"/>
    <s v="Follow-up"/>
    <n v="2"/>
  </r>
  <r>
    <s v="P0231"/>
    <n v="85"/>
    <s v="Female"/>
    <s v="Cardiac"/>
    <s v="Pulmonology"/>
    <s v="Dr. Priya"/>
    <d v="2024-12-28T00:00:00"/>
    <d v="2025-01-15T00:00:00"/>
    <n v="163363"/>
    <s v="Government"/>
    <s v="Card"/>
    <x v="3"/>
    <s v="Follow-up"/>
    <n v="5"/>
  </r>
  <r>
    <s v="P0232"/>
    <n v="19"/>
    <s v="Female"/>
    <s v="Cancer"/>
    <s v="Orthopedics"/>
    <s v="Dr. Meena"/>
    <d v="2024-01-12T00:00:00"/>
    <d v="2024-01-18T00:00:00"/>
    <n v="151200"/>
    <s v="Private"/>
    <s v="Card"/>
    <x v="3"/>
    <s v="Recovered"/>
    <n v="3"/>
  </r>
  <r>
    <s v="P0233"/>
    <n v="84"/>
    <s v="Male"/>
    <s v="Cancer"/>
    <s v="Neurology"/>
    <s v="Dr. Raj"/>
    <d v="2025-06-07T00:00:00"/>
    <d v="2025-06-21T00:00:00"/>
    <n v="232288"/>
    <s v="Private"/>
    <s v="Cash"/>
    <x v="1"/>
    <s v="Under Treatment"/>
    <n v="5"/>
  </r>
  <r>
    <s v="P0234"/>
    <n v="78"/>
    <s v="Male"/>
    <s v="Orthopedic"/>
    <s v="Neurology"/>
    <s v="Dr. Priya"/>
    <d v="2024-02-08T00:00:00"/>
    <d v="2024-02-19T00:00:00"/>
    <n v="29593"/>
    <s v="None"/>
    <s v="UPI"/>
    <x v="1"/>
    <s v="Recovered"/>
    <n v="3"/>
  </r>
  <r>
    <s v="P0235"/>
    <n v="53"/>
    <s v="Male"/>
    <s v="Neurological"/>
    <s v="Cardiology"/>
    <s v="Dr. Kumar"/>
    <d v="2024-01-26T00:00:00"/>
    <d v="2024-02-09T00:00:00"/>
    <n v="165494"/>
    <s v="Government"/>
    <s v="Insurance Claim"/>
    <x v="0"/>
    <s v="Follow-up"/>
    <n v="2"/>
  </r>
  <r>
    <s v="P0236"/>
    <n v="60"/>
    <s v="Female"/>
    <s v="Respiratory"/>
    <s v="General Medicine"/>
    <s v="Dr. Meena"/>
    <d v="2025-04-02T00:00:00"/>
    <d v="2025-04-12T00:00:00"/>
    <n v="130439"/>
    <s v="Government"/>
    <s v="Cash"/>
    <x v="2"/>
    <s v="Recovered"/>
    <n v="2"/>
  </r>
  <r>
    <s v="P0237"/>
    <n v="47"/>
    <s v="Female"/>
    <s v="Cardiac"/>
    <s v="Orthopedics"/>
    <s v="Dr. Priya"/>
    <d v="2025-03-21T00:00:00"/>
    <d v="2025-04-05T00:00:00"/>
    <n v="72935"/>
    <s v="Private"/>
    <s v="Card"/>
    <x v="0"/>
    <s v="Under Treatment"/>
    <n v="2"/>
  </r>
  <r>
    <s v="P0238"/>
    <n v="22"/>
    <s v="Female"/>
    <s v="Cardiac"/>
    <s v="Orthopedics"/>
    <s v="Dr. Arun"/>
    <d v="2025-07-16T00:00:00"/>
    <d v="2025-07-27T00:00:00"/>
    <n v="50521"/>
    <s v="Government"/>
    <s v="UPI"/>
    <x v="0"/>
    <s v="Recovered"/>
    <n v="5"/>
  </r>
  <r>
    <s v="P0239"/>
    <n v="78"/>
    <s v="Female"/>
    <s v="Respiratory"/>
    <s v="Pulmonology"/>
    <s v="Dr. Priya"/>
    <d v="2024-07-01T00:00:00"/>
    <d v="2024-07-12T00:00:00"/>
    <n v="143030"/>
    <s v="Private"/>
    <s v="Cash"/>
    <x v="1"/>
    <s v="Under Treatment"/>
    <n v="4"/>
  </r>
  <r>
    <s v="P0240"/>
    <n v="25"/>
    <s v="Female"/>
    <s v="Infection"/>
    <s v="Cardiology"/>
    <s v="Dr. Kumar"/>
    <d v="2024-06-02T00:00:00"/>
    <d v="2024-06-03T00:00:00"/>
    <n v="152432"/>
    <s v="None"/>
    <s v="Insurance Claim"/>
    <x v="4"/>
    <s v="Recovered"/>
    <n v="5"/>
  </r>
  <r>
    <s v="P0241"/>
    <n v="33"/>
    <s v="Female"/>
    <s v="Diabetes"/>
    <s v="Pulmonology"/>
    <s v="Dr. Priya"/>
    <d v="2024-08-21T00:00:00"/>
    <d v="2024-08-27T00:00:00"/>
    <n v="134664"/>
    <s v="None"/>
    <s v="Cash"/>
    <x v="2"/>
    <s v="Follow-up"/>
    <n v="3"/>
  </r>
  <r>
    <s v="P0242"/>
    <n v="42"/>
    <s v="Female"/>
    <s v="Cardiac"/>
    <s v="General Medicine"/>
    <s v="Dr. Meena"/>
    <d v="2024-05-17T00:00:00"/>
    <d v="2024-05-27T00:00:00"/>
    <n v="73041"/>
    <s v="Private"/>
    <s v="Insurance Claim"/>
    <x v="4"/>
    <s v="Follow-up"/>
    <n v="3"/>
  </r>
  <r>
    <s v="P0243"/>
    <n v="18"/>
    <s v="Male"/>
    <s v="Neurological"/>
    <s v="Neurology"/>
    <s v="Dr. Priya"/>
    <d v="2025-12-12T00:00:00"/>
    <d v="2025-12-29T00:00:00"/>
    <n v="224766"/>
    <s v="Government"/>
    <s v="UPI"/>
    <x v="3"/>
    <s v="Follow-up"/>
    <n v="3"/>
  </r>
  <r>
    <s v="P0244"/>
    <n v="47"/>
    <s v="Female"/>
    <s v="Cancer"/>
    <s v="Orthopedics"/>
    <s v="Dr. Arun"/>
    <d v="2024-10-10T00:00:00"/>
    <d v="2024-10-12T00:00:00"/>
    <n v="60832"/>
    <s v="Government"/>
    <s v="Cash"/>
    <x v="4"/>
    <s v="Under Treatment"/>
    <n v="2"/>
  </r>
  <r>
    <s v="P0245"/>
    <n v="27"/>
    <s v="Male"/>
    <s v="Neurological"/>
    <s v="General Medicine"/>
    <s v="Dr. Arun"/>
    <d v="2025-03-08T00:00:00"/>
    <d v="2025-03-14T00:00:00"/>
    <n v="205220"/>
    <s v="None"/>
    <s v="UPI"/>
    <x v="4"/>
    <s v="Under Treatment"/>
    <n v="2"/>
  </r>
  <r>
    <s v="P0246"/>
    <n v="21"/>
    <s v="Male"/>
    <s v="Orthopedic"/>
    <s v="Neurology"/>
    <s v="Dr. Meena"/>
    <d v="2025-09-11T00:00:00"/>
    <d v="2025-09-12T00:00:00"/>
    <n v="24441"/>
    <s v="None"/>
    <s v="UPI"/>
    <x v="0"/>
    <s v="Under Treatment"/>
    <n v="3"/>
  </r>
  <r>
    <s v="P0247"/>
    <n v="81"/>
    <s v="Female"/>
    <s v="Neurological"/>
    <s v="Oncology"/>
    <s v="Dr. Priya"/>
    <d v="2024-06-30T00:00:00"/>
    <d v="2024-07-17T00:00:00"/>
    <n v="58034"/>
    <s v="Corporate"/>
    <s v="Insurance Claim"/>
    <x v="3"/>
    <s v="Follow-up"/>
    <n v="5"/>
  </r>
  <r>
    <s v="P0248"/>
    <n v="82"/>
    <s v="Male"/>
    <s v="Cancer"/>
    <s v="Cardiology"/>
    <s v="Dr. Priya"/>
    <d v="2025-02-10T00:00:00"/>
    <d v="2025-02-28T00:00:00"/>
    <n v="172869"/>
    <s v="None"/>
    <s v="UPI"/>
    <x v="2"/>
    <s v="Under Treatment"/>
    <n v="3"/>
  </r>
  <r>
    <s v="P0249"/>
    <n v="83"/>
    <s v="Female"/>
    <s v="Neurological"/>
    <s v="Neurology"/>
    <s v="Dr. Priya"/>
    <d v="2024-04-02T00:00:00"/>
    <d v="2024-04-15T00:00:00"/>
    <n v="84821"/>
    <s v="None"/>
    <s v="Cash"/>
    <x v="4"/>
    <s v="Follow-up"/>
    <n v="1"/>
  </r>
  <r>
    <s v="P0250"/>
    <n v="18"/>
    <s v="Male"/>
    <s v="Infection"/>
    <s v="Neurology"/>
    <s v="Dr. Kumar"/>
    <d v="2024-08-31T00:00:00"/>
    <d v="2024-09-08T00:00:00"/>
    <n v="152927"/>
    <s v="Corporate"/>
    <s v="Cash"/>
    <x v="1"/>
    <s v="Follow-up"/>
    <n v="2"/>
  </r>
  <r>
    <s v="P0251"/>
    <n v="63"/>
    <s v="Female"/>
    <s v="Orthopedic"/>
    <s v="Neurology"/>
    <s v="Dr. Kumar"/>
    <d v="2025-03-23T00:00:00"/>
    <d v="2025-04-01T00:00:00"/>
    <n v="66462"/>
    <s v="Government"/>
    <s v="Insurance Claim"/>
    <x v="0"/>
    <s v="Follow-up"/>
    <n v="4"/>
  </r>
  <r>
    <s v="P0252"/>
    <n v="85"/>
    <s v="Female"/>
    <s v="Infection"/>
    <s v="Oncology"/>
    <s v="Dr. Arun"/>
    <d v="2024-04-29T00:00:00"/>
    <d v="2024-05-04T00:00:00"/>
    <n v="175162"/>
    <s v="Private"/>
    <s v="Card"/>
    <x v="2"/>
    <s v="Under Treatment"/>
    <n v="3"/>
  </r>
  <r>
    <s v="P0253"/>
    <n v="68"/>
    <s v="Female"/>
    <s v="Respiratory"/>
    <s v="Pulmonology"/>
    <s v="Dr. Raj"/>
    <d v="2025-02-24T00:00:00"/>
    <d v="2025-03-05T00:00:00"/>
    <n v="77256"/>
    <s v="None"/>
    <s v="UPI"/>
    <x v="4"/>
    <s v="Follow-up"/>
    <n v="3"/>
  </r>
  <r>
    <s v="P0254"/>
    <n v="27"/>
    <s v="Male"/>
    <s v="Diabetes"/>
    <s v="Pulmonology"/>
    <s v="Dr. Raj"/>
    <d v="2025-05-27T00:00:00"/>
    <d v="2025-06-13T00:00:00"/>
    <n v="137598"/>
    <s v="Government"/>
    <s v="Cash"/>
    <x v="2"/>
    <s v="Under Treatment"/>
    <n v="4"/>
  </r>
  <r>
    <s v="P0255"/>
    <n v="61"/>
    <s v="Female"/>
    <s v="Cardiac"/>
    <s v="General Medicine"/>
    <s v="Dr. Priya"/>
    <d v="2024-03-06T00:00:00"/>
    <d v="2024-03-18T00:00:00"/>
    <n v="193739"/>
    <s v="Government"/>
    <s v="Insurance Claim"/>
    <x v="4"/>
    <s v="Follow-up"/>
    <n v="5"/>
  </r>
  <r>
    <s v="P0256"/>
    <n v="53"/>
    <s v="Female"/>
    <s v="Cardiac"/>
    <s v="Neurology"/>
    <s v="Dr. Priya"/>
    <d v="2025-12-08T00:00:00"/>
    <d v="2025-12-16T00:00:00"/>
    <n v="219956"/>
    <s v="Private"/>
    <s v="UPI"/>
    <x v="2"/>
    <s v="Under Treatment"/>
    <n v="1"/>
  </r>
  <r>
    <s v="P0257"/>
    <n v="55"/>
    <s v="Female"/>
    <s v="Orthopedic"/>
    <s v="Oncology"/>
    <s v="Dr. Meena"/>
    <d v="2024-12-31T00:00:00"/>
    <d v="2025-01-18T00:00:00"/>
    <n v="10606"/>
    <s v="Government"/>
    <s v="Card"/>
    <x v="3"/>
    <s v="Under Treatment"/>
    <n v="2"/>
  </r>
  <r>
    <s v="P0258"/>
    <n v="26"/>
    <s v="Male"/>
    <s v="Infection"/>
    <s v="Oncology"/>
    <s v="Dr. Meena"/>
    <d v="2025-09-24T00:00:00"/>
    <d v="2025-10-06T00:00:00"/>
    <n v="167293"/>
    <s v="Private"/>
    <s v="Insurance Claim"/>
    <x v="1"/>
    <s v="Under Treatment"/>
    <n v="3"/>
  </r>
  <r>
    <s v="P0259"/>
    <n v="26"/>
    <s v="Female"/>
    <s v="Cancer"/>
    <s v="General Medicine"/>
    <s v="Dr. Kumar"/>
    <d v="2025-05-03T00:00:00"/>
    <d v="2025-05-11T00:00:00"/>
    <n v="178178"/>
    <s v="Corporate"/>
    <s v="UPI"/>
    <x v="2"/>
    <s v="Follow-up"/>
    <n v="5"/>
  </r>
  <r>
    <s v="P0260"/>
    <n v="39"/>
    <s v="Female"/>
    <s v="Neurological"/>
    <s v="Cardiology"/>
    <s v="Dr. Meena"/>
    <d v="2025-06-28T00:00:00"/>
    <d v="2025-07-12T00:00:00"/>
    <n v="133380"/>
    <s v="None"/>
    <s v="Cash"/>
    <x v="4"/>
    <s v="Under Treatment"/>
    <n v="4"/>
  </r>
  <r>
    <s v="P0261"/>
    <n v="30"/>
    <s v="Male"/>
    <s v="Cancer"/>
    <s v="Oncology"/>
    <s v="Dr. Priya"/>
    <d v="2025-05-26T00:00:00"/>
    <d v="2025-05-29T00:00:00"/>
    <n v="104238"/>
    <s v="Government"/>
    <s v="Card"/>
    <x v="4"/>
    <s v="Recovered"/>
    <n v="2"/>
  </r>
  <r>
    <s v="P0262"/>
    <n v="72"/>
    <s v="Female"/>
    <s v="Infection"/>
    <s v="Oncology"/>
    <s v="Dr. Kumar"/>
    <d v="2024-09-14T00:00:00"/>
    <d v="2024-10-01T00:00:00"/>
    <n v="210545"/>
    <s v="Government"/>
    <s v="Card"/>
    <x v="1"/>
    <s v="Recovered"/>
    <n v="3"/>
  </r>
  <r>
    <s v="P0263"/>
    <n v="25"/>
    <s v="Female"/>
    <s v="Respiratory"/>
    <s v="General Medicine"/>
    <s v="Dr. Raj"/>
    <d v="2025-02-06T00:00:00"/>
    <d v="2025-02-25T00:00:00"/>
    <n v="129423"/>
    <s v="None"/>
    <s v="UPI"/>
    <x v="1"/>
    <s v="Under Treatment"/>
    <n v="2"/>
  </r>
  <r>
    <s v="P0264"/>
    <n v="41"/>
    <s v="Male"/>
    <s v="Neurological"/>
    <s v="Neurology"/>
    <s v="Dr. Meena"/>
    <d v="2024-05-06T00:00:00"/>
    <d v="2024-05-17T00:00:00"/>
    <n v="157261"/>
    <s v="Private"/>
    <s v="Card"/>
    <x v="1"/>
    <s v="Follow-up"/>
    <n v="1"/>
  </r>
  <r>
    <s v="P0265"/>
    <n v="85"/>
    <s v="Female"/>
    <s v="Infection"/>
    <s v="General Medicine"/>
    <s v="Dr. Priya"/>
    <d v="2024-06-24T00:00:00"/>
    <d v="2024-06-28T00:00:00"/>
    <n v="189635"/>
    <s v="Corporate"/>
    <s v="Insurance Claim"/>
    <x v="1"/>
    <s v="Follow-up"/>
    <n v="5"/>
  </r>
  <r>
    <s v="P0266"/>
    <n v="77"/>
    <s v="Female"/>
    <s v="Orthopedic"/>
    <s v="Neurology"/>
    <s v="Dr. Arun"/>
    <d v="2024-06-14T00:00:00"/>
    <d v="2024-06-30T00:00:00"/>
    <n v="188642"/>
    <s v="Private"/>
    <s v="Card"/>
    <x v="1"/>
    <s v="Under Treatment"/>
    <n v="4"/>
  </r>
  <r>
    <s v="P0267"/>
    <n v="19"/>
    <s v="Female"/>
    <s v="Neurological"/>
    <s v="Oncology"/>
    <s v="Dr. Arun"/>
    <d v="2024-07-01T00:00:00"/>
    <d v="2024-07-19T00:00:00"/>
    <n v="171040"/>
    <s v="Corporate"/>
    <s v="Card"/>
    <x v="1"/>
    <s v="Recovered"/>
    <n v="2"/>
  </r>
  <r>
    <s v="P0268"/>
    <n v="23"/>
    <s v="Male"/>
    <s v="Respiratory"/>
    <s v="Pulmonology"/>
    <s v="Dr. Meena"/>
    <d v="2024-05-14T00:00:00"/>
    <d v="2024-05-31T00:00:00"/>
    <n v="34746"/>
    <s v="Private"/>
    <s v="Card"/>
    <x v="2"/>
    <s v="Under Treatment"/>
    <n v="5"/>
  </r>
  <r>
    <s v="P0269"/>
    <n v="27"/>
    <s v="Female"/>
    <s v="Respiratory"/>
    <s v="Oncology"/>
    <s v="Dr. Raj"/>
    <d v="2025-07-21T00:00:00"/>
    <d v="2025-08-07T00:00:00"/>
    <n v="236167"/>
    <s v="None"/>
    <s v="UPI"/>
    <x v="1"/>
    <s v="Recovered"/>
    <n v="3"/>
  </r>
  <r>
    <s v="P0270"/>
    <n v="84"/>
    <s v="Male"/>
    <s v="Orthopedic"/>
    <s v="Pulmonology"/>
    <s v="Dr. Kumar"/>
    <d v="2025-11-23T00:00:00"/>
    <d v="2025-12-03T00:00:00"/>
    <n v="176933"/>
    <s v="Corporate"/>
    <s v="Card"/>
    <x v="2"/>
    <s v="Follow-up"/>
    <n v="4"/>
  </r>
  <r>
    <s v="P0271"/>
    <n v="38"/>
    <s v="Female"/>
    <s v="Infection"/>
    <s v="Neurology"/>
    <s v="Dr. Priya"/>
    <d v="2024-11-07T00:00:00"/>
    <d v="2024-11-23T00:00:00"/>
    <n v="212160"/>
    <s v="Government"/>
    <s v="Insurance Claim"/>
    <x v="4"/>
    <s v="Recovered"/>
    <n v="2"/>
  </r>
  <r>
    <s v="P0272"/>
    <n v="44"/>
    <s v="Female"/>
    <s v="Neurological"/>
    <s v="Oncology"/>
    <s v="Dr. Raj"/>
    <d v="2024-03-24T00:00:00"/>
    <d v="2024-04-06T00:00:00"/>
    <n v="210646"/>
    <s v="None"/>
    <s v="Insurance Claim"/>
    <x v="0"/>
    <s v="Follow-up"/>
    <n v="2"/>
  </r>
  <r>
    <s v="P0273"/>
    <n v="57"/>
    <s v="Female"/>
    <s v="Orthopedic"/>
    <s v="General Medicine"/>
    <s v="Dr. Raj"/>
    <d v="2025-07-20T00:00:00"/>
    <d v="2025-07-31T00:00:00"/>
    <n v="109600"/>
    <s v="Private"/>
    <s v="Card"/>
    <x v="4"/>
    <s v="Under Treatment"/>
    <n v="4"/>
  </r>
  <r>
    <s v="P0274"/>
    <n v="54"/>
    <s v="Male"/>
    <s v="Infection"/>
    <s v="Cardiology"/>
    <s v="Dr. Raj"/>
    <d v="2025-01-04T00:00:00"/>
    <d v="2025-01-09T00:00:00"/>
    <n v="157521"/>
    <s v="Private"/>
    <s v="UPI"/>
    <x v="0"/>
    <s v="Under Treatment"/>
    <n v="1"/>
  </r>
  <r>
    <s v="P0275"/>
    <n v="20"/>
    <s v="Male"/>
    <s v="Infection"/>
    <s v="Orthopedics"/>
    <s v="Dr. Arun"/>
    <d v="2025-09-18T00:00:00"/>
    <d v="2025-10-06T00:00:00"/>
    <n v="106302"/>
    <s v="None"/>
    <s v="UPI"/>
    <x v="2"/>
    <s v="Under Treatment"/>
    <n v="2"/>
  </r>
  <r>
    <s v="P0276"/>
    <n v="55"/>
    <s v="Male"/>
    <s v="Orthopedic"/>
    <s v="Cardiology"/>
    <s v="Dr. Kumar"/>
    <d v="2025-10-31T00:00:00"/>
    <d v="2025-11-03T00:00:00"/>
    <n v="54873"/>
    <s v="None"/>
    <s v="UPI"/>
    <x v="3"/>
    <s v="Follow-up"/>
    <n v="5"/>
  </r>
  <r>
    <s v="P0277"/>
    <n v="73"/>
    <s v="Female"/>
    <s v="Neurological"/>
    <s v="Oncology"/>
    <s v="Dr. Arun"/>
    <d v="2025-07-09T00:00:00"/>
    <d v="2025-07-26T00:00:00"/>
    <n v="39462"/>
    <s v="None"/>
    <s v="Cash"/>
    <x v="1"/>
    <s v="Recovered"/>
    <n v="4"/>
  </r>
  <r>
    <s v="P0278"/>
    <n v="30"/>
    <s v="Female"/>
    <s v="Cancer"/>
    <s v="General Medicine"/>
    <s v="Dr. Kumar"/>
    <d v="2025-12-24T00:00:00"/>
    <d v="2025-12-29T00:00:00"/>
    <n v="215999"/>
    <s v="Private"/>
    <s v="Card"/>
    <x v="2"/>
    <s v="Follow-up"/>
    <n v="1"/>
  </r>
  <r>
    <s v="P0279"/>
    <n v="79"/>
    <s v="Male"/>
    <s v="Neurological"/>
    <s v="Cardiology"/>
    <s v="Dr. Kumar"/>
    <d v="2024-03-06T00:00:00"/>
    <d v="2024-03-07T00:00:00"/>
    <n v="19381"/>
    <s v="Government"/>
    <s v="UPI"/>
    <x v="0"/>
    <s v="Under Treatment"/>
    <n v="2"/>
  </r>
  <r>
    <s v="P0280"/>
    <n v="69"/>
    <s v="Male"/>
    <s v="Cardiac"/>
    <s v="General Medicine"/>
    <s v="Dr. Raj"/>
    <d v="2025-02-05T00:00:00"/>
    <d v="2025-02-25T00:00:00"/>
    <n v="223124"/>
    <s v="Private"/>
    <s v="Insurance Claim"/>
    <x v="0"/>
    <s v="Follow-up"/>
    <n v="1"/>
  </r>
  <r>
    <s v="P0281"/>
    <n v="56"/>
    <s v="Male"/>
    <s v="Infection"/>
    <s v="Cardiology"/>
    <s v="Dr. Kumar"/>
    <d v="2024-01-04T00:00:00"/>
    <d v="2024-01-14T00:00:00"/>
    <n v="207247"/>
    <s v="Corporate"/>
    <s v="Insurance Claim"/>
    <x v="1"/>
    <s v="Recovered"/>
    <n v="2"/>
  </r>
  <r>
    <s v="P0282"/>
    <n v="47"/>
    <s v="Female"/>
    <s v="Cancer"/>
    <s v="General Medicine"/>
    <s v="Dr. Kumar"/>
    <d v="2025-07-28T00:00:00"/>
    <d v="2025-08-11T00:00:00"/>
    <n v="227844"/>
    <s v="Corporate"/>
    <s v="UPI"/>
    <x v="2"/>
    <s v="Under Treatment"/>
    <n v="2"/>
  </r>
  <r>
    <s v="P0283"/>
    <n v="36"/>
    <s v="Female"/>
    <s v="Infection"/>
    <s v="Pulmonology"/>
    <s v="Dr. Kumar"/>
    <d v="2025-06-07T00:00:00"/>
    <d v="2025-06-14T00:00:00"/>
    <n v="105437"/>
    <s v="Corporate"/>
    <s v="Card"/>
    <x v="1"/>
    <s v="Under Treatment"/>
    <n v="5"/>
  </r>
  <r>
    <s v="P0284"/>
    <n v="21"/>
    <s v="Male"/>
    <s v="Infection"/>
    <s v="General Medicine"/>
    <s v="Dr. Meena"/>
    <d v="2024-03-10T00:00:00"/>
    <d v="2024-03-16T00:00:00"/>
    <n v="148776"/>
    <s v="Government"/>
    <s v="Cash"/>
    <x v="0"/>
    <s v="Under Treatment"/>
    <n v="1"/>
  </r>
  <r>
    <s v="P0285"/>
    <n v="37"/>
    <s v="Male"/>
    <s v="Neurological"/>
    <s v="Orthopedics"/>
    <s v="Dr. Meena"/>
    <d v="2025-02-27T00:00:00"/>
    <d v="2025-03-15T00:00:00"/>
    <n v="156107"/>
    <s v="Private"/>
    <s v="Cash"/>
    <x v="1"/>
    <s v="Recovered"/>
    <n v="2"/>
  </r>
  <r>
    <s v="P0286"/>
    <n v="49"/>
    <s v="Female"/>
    <s v="Neurological"/>
    <s v="Cardiology"/>
    <s v="Dr. Kumar"/>
    <d v="2025-01-02T00:00:00"/>
    <d v="2025-01-15T00:00:00"/>
    <n v="26508"/>
    <s v="Corporate"/>
    <s v="Insurance Claim"/>
    <x v="0"/>
    <s v="Recovered"/>
    <n v="1"/>
  </r>
  <r>
    <s v="P0287"/>
    <n v="67"/>
    <s v="Female"/>
    <s v="Cancer"/>
    <s v="Neurology"/>
    <s v="Dr. Kumar"/>
    <d v="2025-11-19T00:00:00"/>
    <d v="2025-11-20T00:00:00"/>
    <n v="55321"/>
    <s v="None"/>
    <s v="Cash"/>
    <x v="4"/>
    <s v="Follow-up"/>
    <n v="5"/>
  </r>
  <r>
    <s v="P0288"/>
    <n v="36"/>
    <s v="Male"/>
    <s v="Infection"/>
    <s v="Cardiology"/>
    <s v="Dr. Priya"/>
    <d v="2024-08-07T00:00:00"/>
    <d v="2024-08-14T00:00:00"/>
    <n v="148543"/>
    <s v="None"/>
    <s v="Card"/>
    <x v="4"/>
    <s v="Under Treatment"/>
    <n v="3"/>
  </r>
  <r>
    <s v="P0289"/>
    <n v="54"/>
    <s v="Female"/>
    <s v="Respiratory"/>
    <s v="Oncology"/>
    <s v="Dr. Kumar"/>
    <d v="2024-01-12T00:00:00"/>
    <d v="2024-01-28T00:00:00"/>
    <n v="223362"/>
    <s v="None"/>
    <s v="Card"/>
    <x v="2"/>
    <s v="Follow-up"/>
    <n v="4"/>
  </r>
  <r>
    <s v="P0290"/>
    <n v="48"/>
    <s v="Male"/>
    <s v="Neurological"/>
    <s v="Pulmonology"/>
    <s v="Dr. Raj"/>
    <d v="2024-10-29T00:00:00"/>
    <d v="2024-11-17T00:00:00"/>
    <n v="109786"/>
    <s v="Private"/>
    <s v="Insurance Claim"/>
    <x v="4"/>
    <s v="Recovered"/>
    <n v="2"/>
  </r>
  <r>
    <s v="P0291"/>
    <n v="85"/>
    <s v="Male"/>
    <s v="Neurological"/>
    <s v="Neurology"/>
    <s v="Dr. Priya"/>
    <d v="2025-08-23T00:00:00"/>
    <d v="2025-09-08T00:00:00"/>
    <n v="40711"/>
    <s v="Private"/>
    <s v="Insurance Claim"/>
    <x v="2"/>
    <s v="Follow-up"/>
    <n v="5"/>
  </r>
  <r>
    <s v="P0292"/>
    <n v="34"/>
    <s v="Female"/>
    <s v="Infection"/>
    <s v="Cardiology"/>
    <s v="Dr. Raj"/>
    <d v="2024-05-06T00:00:00"/>
    <d v="2024-05-21T00:00:00"/>
    <n v="12340"/>
    <s v="None"/>
    <s v="Insurance Claim"/>
    <x v="1"/>
    <s v="Recovered"/>
    <n v="2"/>
  </r>
  <r>
    <s v="P0293"/>
    <n v="33"/>
    <s v="Male"/>
    <s v="Infection"/>
    <s v="Neurology"/>
    <s v="Dr. Raj"/>
    <d v="2024-06-12T00:00:00"/>
    <d v="2024-06-23T00:00:00"/>
    <n v="46474"/>
    <s v="Private"/>
    <s v="Insurance Claim"/>
    <x v="3"/>
    <s v="Follow-up"/>
    <n v="2"/>
  </r>
  <r>
    <s v="P0294"/>
    <n v="23"/>
    <s v="Male"/>
    <s v="Infection"/>
    <s v="Oncology"/>
    <s v="Dr. Kumar"/>
    <d v="2024-07-25T00:00:00"/>
    <d v="2024-08-02T00:00:00"/>
    <n v="226113"/>
    <s v="None"/>
    <s v="Card"/>
    <x v="2"/>
    <s v="Under Treatment"/>
    <n v="5"/>
  </r>
  <r>
    <s v="P0295"/>
    <n v="82"/>
    <s v="Female"/>
    <s v="Orthopedic"/>
    <s v="Pulmonology"/>
    <s v="Dr. Raj"/>
    <d v="2024-05-24T00:00:00"/>
    <d v="2024-05-30T00:00:00"/>
    <n v="23612"/>
    <s v="None"/>
    <s v="Card"/>
    <x v="0"/>
    <s v="Follow-up"/>
    <n v="4"/>
  </r>
  <r>
    <s v="P0296"/>
    <n v="35"/>
    <s v="Male"/>
    <s v="Diabetes"/>
    <s v="Cardiology"/>
    <s v="Dr. Raj"/>
    <d v="2024-05-22T00:00:00"/>
    <d v="2024-05-26T00:00:00"/>
    <n v="163705"/>
    <s v="Private"/>
    <s v="Card"/>
    <x v="0"/>
    <s v="Recovered"/>
    <n v="5"/>
  </r>
  <r>
    <s v="P0297"/>
    <n v="66"/>
    <s v="Male"/>
    <s v="Diabetes"/>
    <s v="Orthopedics"/>
    <s v="Dr. Meena"/>
    <d v="2025-10-04T00:00:00"/>
    <d v="2025-10-21T00:00:00"/>
    <n v="5420"/>
    <s v="Government"/>
    <s v="Insurance Claim"/>
    <x v="0"/>
    <s v="Recovered"/>
    <n v="3"/>
  </r>
  <r>
    <s v="P0298"/>
    <n v="44"/>
    <s v="Female"/>
    <s v="Cancer"/>
    <s v="Orthopedics"/>
    <s v="Dr. Arun"/>
    <d v="2025-01-09T00:00:00"/>
    <d v="2025-01-21T00:00:00"/>
    <n v="138726"/>
    <s v="Government"/>
    <s v="Cash"/>
    <x v="2"/>
    <s v="Recovered"/>
    <n v="2"/>
  </r>
  <r>
    <s v="P0299"/>
    <n v="47"/>
    <s v="Female"/>
    <s v="Neurological"/>
    <s v="General Medicine"/>
    <s v="Dr. Meena"/>
    <d v="2024-08-29T00:00:00"/>
    <d v="2024-09-17T00:00:00"/>
    <n v="247092"/>
    <s v="Private"/>
    <s v="UPI"/>
    <x v="4"/>
    <s v="Under Treatment"/>
    <n v="4"/>
  </r>
  <r>
    <s v="P0300"/>
    <n v="64"/>
    <s v="Male"/>
    <s v="Orthopedic"/>
    <s v="Oncology"/>
    <s v="Dr. Kumar"/>
    <d v="2025-08-27T00:00:00"/>
    <d v="2025-09-02T00:00:00"/>
    <n v="46617"/>
    <s v="Government"/>
    <s v="Cash"/>
    <x v="2"/>
    <s v="Under Treatment"/>
    <n v="4"/>
  </r>
  <r>
    <s v="P0301"/>
    <n v="70"/>
    <s v="Male"/>
    <s v="Diabetes"/>
    <s v="Orthopedics"/>
    <s v="Dr. Priya"/>
    <d v="2024-03-21T00:00:00"/>
    <d v="2024-04-10T00:00:00"/>
    <n v="216958"/>
    <s v="Government"/>
    <s v="Insurance Claim"/>
    <x v="2"/>
    <s v="Follow-up"/>
    <n v="2"/>
  </r>
  <r>
    <s v="P0302"/>
    <n v="58"/>
    <s v="Female"/>
    <s v="Diabetes"/>
    <s v="Cardiology"/>
    <s v="Dr. Kumar"/>
    <d v="2024-09-01T00:00:00"/>
    <d v="2024-09-05T00:00:00"/>
    <n v="35849"/>
    <s v="Corporate"/>
    <s v="Cash"/>
    <x v="2"/>
    <s v="Under Treatment"/>
    <n v="1"/>
  </r>
  <r>
    <s v="P0303"/>
    <n v="63"/>
    <s v="Male"/>
    <s v="Orthopedic"/>
    <s v="Neurology"/>
    <s v="Dr. Kumar"/>
    <d v="2024-05-23T00:00:00"/>
    <d v="2024-06-06T00:00:00"/>
    <n v="113664"/>
    <s v="Corporate"/>
    <s v="Cash"/>
    <x v="1"/>
    <s v="Under Treatment"/>
    <n v="4"/>
  </r>
  <r>
    <s v="P0304"/>
    <n v="29"/>
    <s v="Female"/>
    <s v="Cancer"/>
    <s v="General Medicine"/>
    <s v="Dr. Meena"/>
    <d v="2025-02-20T00:00:00"/>
    <d v="2025-02-23T00:00:00"/>
    <n v="95524"/>
    <s v="Government"/>
    <s v="UPI"/>
    <x v="2"/>
    <s v="Recovered"/>
    <n v="1"/>
  </r>
  <r>
    <s v="P0305"/>
    <n v="21"/>
    <s v="Male"/>
    <s v="Cardiac"/>
    <s v="Cardiology"/>
    <s v="Dr. Arun"/>
    <d v="2025-05-03T00:00:00"/>
    <d v="2025-05-15T00:00:00"/>
    <n v="75753"/>
    <s v="Government"/>
    <s v="Insurance Claim"/>
    <x v="2"/>
    <s v="Recovered"/>
    <n v="2"/>
  </r>
  <r>
    <s v="P0306"/>
    <n v="36"/>
    <s v="Male"/>
    <s v="Cancer"/>
    <s v="General Medicine"/>
    <s v="Dr. Priya"/>
    <d v="2024-04-29T00:00:00"/>
    <d v="2024-05-10T00:00:00"/>
    <n v="85483"/>
    <s v="Government"/>
    <s v="Card"/>
    <x v="3"/>
    <s v="Recovered"/>
    <n v="4"/>
  </r>
  <r>
    <s v="P0307"/>
    <n v="47"/>
    <s v="Female"/>
    <s v="Orthopedic"/>
    <s v="Pulmonology"/>
    <s v="Dr. Kumar"/>
    <d v="2024-04-10T00:00:00"/>
    <d v="2024-04-22T00:00:00"/>
    <n v="236256"/>
    <s v="Corporate"/>
    <s v="Card"/>
    <x v="0"/>
    <s v="Under Treatment"/>
    <n v="4"/>
  </r>
  <r>
    <s v="P0308"/>
    <n v="54"/>
    <s v="Male"/>
    <s v="Orthopedic"/>
    <s v="Pulmonology"/>
    <s v="Dr. Raj"/>
    <d v="2024-05-24T00:00:00"/>
    <d v="2024-06-12T00:00:00"/>
    <n v="44269"/>
    <s v="Private"/>
    <s v="Cash"/>
    <x v="0"/>
    <s v="Under Treatment"/>
    <n v="5"/>
  </r>
  <r>
    <s v="P0309"/>
    <n v="35"/>
    <s v="Male"/>
    <s v="Neurological"/>
    <s v="General Medicine"/>
    <s v="Dr. Priya"/>
    <d v="2024-10-06T00:00:00"/>
    <d v="2024-10-20T00:00:00"/>
    <n v="72383"/>
    <s v="Private"/>
    <s v="UPI"/>
    <x v="2"/>
    <s v="Follow-up"/>
    <n v="2"/>
  </r>
  <r>
    <s v="P0310"/>
    <n v="69"/>
    <s v="Female"/>
    <s v="Diabetes"/>
    <s v="Neurology"/>
    <s v="Dr. Priya"/>
    <d v="2024-10-21T00:00:00"/>
    <d v="2024-10-30T00:00:00"/>
    <n v="70571"/>
    <s v="Government"/>
    <s v="Insurance Claim"/>
    <x v="1"/>
    <s v="Follow-up"/>
    <n v="3"/>
  </r>
  <r>
    <s v="P0311"/>
    <n v="56"/>
    <s v="Male"/>
    <s v="Respiratory"/>
    <s v="Pulmonology"/>
    <s v="Dr. Meena"/>
    <d v="2024-05-25T00:00:00"/>
    <d v="2024-06-06T00:00:00"/>
    <n v="155050"/>
    <s v="Private"/>
    <s v="UPI"/>
    <x v="2"/>
    <s v="Recovered"/>
    <n v="3"/>
  </r>
  <r>
    <s v="P0312"/>
    <n v="50"/>
    <s v="Female"/>
    <s v="Orthopedic"/>
    <s v="Cardiology"/>
    <s v="Dr. Meena"/>
    <d v="2025-12-24T00:00:00"/>
    <d v="2025-12-28T00:00:00"/>
    <n v="141908"/>
    <s v="Corporate"/>
    <s v="Cash"/>
    <x v="3"/>
    <s v="Recovered"/>
    <n v="2"/>
  </r>
  <r>
    <s v="P0313"/>
    <n v="84"/>
    <s v="Female"/>
    <s v="Respiratory"/>
    <s v="Neurology"/>
    <s v="Dr. Priya"/>
    <d v="2024-09-03T00:00:00"/>
    <d v="2024-09-10T00:00:00"/>
    <n v="165739"/>
    <s v="Government"/>
    <s v="Insurance Claim"/>
    <x v="1"/>
    <s v="Follow-up"/>
    <n v="2"/>
  </r>
  <r>
    <s v="P0314"/>
    <n v="50"/>
    <s v="Male"/>
    <s v="Cardiac"/>
    <s v="General Medicine"/>
    <s v="Dr. Priya"/>
    <d v="2024-12-21T00:00:00"/>
    <d v="2024-12-31T00:00:00"/>
    <n v="102426"/>
    <s v="Corporate"/>
    <s v="Insurance Claim"/>
    <x v="2"/>
    <s v="Follow-up"/>
    <n v="1"/>
  </r>
  <r>
    <s v="P0315"/>
    <n v="34"/>
    <s v="Male"/>
    <s v="Cardiac"/>
    <s v="General Medicine"/>
    <s v="Dr. Meena"/>
    <d v="2025-12-15T00:00:00"/>
    <d v="2025-12-31T00:00:00"/>
    <n v="54236"/>
    <s v="Government"/>
    <s v="Insurance Claim"/>
    <x v="0"/>
    <s v="Recovered"/>
    <n v="4"/>
  </r>
  <r>
    <s v="P0316"/>
    <n v="67"/>
    <s v="Male"/>
    <s v="Infection"/>
    <s v="Oncology"/>
    <s v="Dr. Arun"/>
    <d v="2024-06-22T00:00:00"/>
    <d v="2024-07-05T00:00:00"/>
    <n v="24994"/>
    <s v="Private"/>
    <s v="Insurance Claim"/>
    <x v="4"/>
    <s v="Recovered"/>
    <n v="3"/>
  </r>
  <r>
    <s v="P0317"/>
    <n v="73"/>
    <s v="Male"/>
    <s v="Cancer"/>
    <s v="Oncology"/>
    <s v="Dr. Priya"/>
    <d v="2025-02-09T00:00:00"/>
    <d v="2025-02-26T00:00:00"/>
    <n v="50674"/>
    <s v="Private"/>
    <s v="Card"/>
    <x v="0"/>
    <s v="Recovered"/>
    <n v="4"/>
  </r>
  <r>
    <s v="P0318"/>
    <n v="85"/>
    <s v="Male"/>
    <s v="Orthopedic"/>
    <s v="Pulmonology"/>
    <s v="Dr. Priya"/>
    <d v="2025-01-13T00:00:00"/>
    <d v="2025-01-20T00:00:00"/>
    <n v="38158"/>
    <s v="Private"/>
    <s v="Card"/>
    <x v="0"/>
    <s v="Recovered"/>
    <n v="3"/>
  </r>
  <r>
    <s v="P0319"/>
    <n v="26"/>
    <s v="Male"/>
    <s v="Diabetes"/>
    <s v="General Medicine"/>
    <s v="Dr. Kumar"/>
    <d v="2025-07-22T00:00:00"/>
    <d v="2025-07-29T00:00:00"/>
    <n v="41745"/>
    <s v="Government"/>
    <s v="Cash"/>
    <x v="0"/>
    <s v="Under Treatment"/>
    <n v="5"/>
  </r>
  <r>
    <s v="P0320"/>
    <n v="81"/>
    <s v="Male"/>
    <s v="Cancer"/>
    <s v="Cardiology"/>
    <s v="Dr. Meena"/>
    <d v="2025-01-16T00:00:00"/>
    <d v="2025-01-23T00:00:00"/>
    <n v="214498"/>
    <s v="None"/>
    <s v="Cash"/>
    <x v="4"/>
    <s v="Under Treatment"/>
    <n v="1"/>
  </r>
  <r>
    <s v="P0321"/>
    <n v="76"/>
    <s v="Male"/>
    <s v="Cancer"/>
    <s v="Pulmonology"/>
    <s v="Dr. Kumar"/>
    <d v="2025-04-21T00:00:00"/>
    <d v="2025-05-01T00:00:00"/>
    <n v="94080"/>
    <s v="Corporate"/>
    <s v="Insurance Claim"/>
    <x v="1"/>
    <s v="Recovered"/>
    <n v="2"/>
  </r>
  <r>
    <s v="P0322"/>
    <n v="85"/>
    <s v="Female"/>
    <s v="Respiratory"/>
    <s v="Cardiology"/>
    <s v="Dr. Raj"/>
    <d v="2024-02-16T00:00:00"/>
    <d v="2024-02-18T00:00:00"/>
    <n v="30957"/>
    <s v="Private"/>
    <s v="Card"/>
    <x v="1"/>
    <s v="Recovered"/>
    <n v="1"/>
  </r>
  <r>
    <s v="P0323"/>
    <n v="47"/>
    <s v="Female"/>
    <s v="Respiratory"/>
    <s v="Cardiology"/>
    <s v="Dr. Kumar"/>
    <d v="2025-06-29T00:00:00"/>
    <d v="2025-07-04T00:00:00"/>
    <n v="94656"/>
    <s v="Private"/>
    <s v="Card"/>
    <x v="1"/>
    <s v="Under Treatment"/>
    <n v="5"/>
  </r>
  <r>
    <s v="P0324"/>
    <n v="71"/>
    <s v="Male"/>
    <s v="Cancer"/>
    <s v="Pulmonology"/>
    <s v="Dr. Meena"/>
    <d v="2025-08-25T00:00:00"/>
    <d v="2025-09-08T00:00:00"/>
    <n v="137926"/>
    <s v="Government"/>
    <s v="Card"/>
    <x v="1"/>
    <s v="Under Treatment"/>
    <n v="3"/>
  </r>
  <r>
    <s v="P0325"/>
    <n v="43"/>
    <s v="Male"/>
    <s v="Orthopedic"/>
    <s v="Neurology"/>
    <s v="Dr. Meena"/>
    <d v="2025-08-22T00:00:00"/>
    <d v="2025-09-04T00:00:00"/>
    <n v="154312"/>
    <s v="Government"/>
    <s v="Insurance Claim"/>
    <x v="2"/>
    <s v="Under Treatment"/>
    <n v="1"/>
  </r>
  <r>
    <s v="P0326"/>
    <n v="22"/>
    <s v="Female"/>
    <s v="Orthopedic"/>
    <s v="Pulmonology"/>
    <s v="Dr. Priya"/>
    <d v="2025-02-28T00:00:00"/>
    <d v="2025-03-13T00:00:00"/>
    <n v="105648"/>
    <s v="Government"/>
    <s v="Card"/>
    <x v="0"/>
    <s v="Follow-up"/>
    <n v="2"/>
  </r>
  <r>
    <s v="P0327"/>
    <n v="48"/>
    <s v="Female"/>
    <s v="Neurological"/>
    <s v="Cardiology"/>
    <s v="Dr. Raj"/>
    <d v="2025-07-04T00:00:00"/>
    <d v="2025-07-07T00:00:00"/>
    <n v="177201"/>
    <s v="None"/>
    <s v="Card"/>
    <x v="3"/>
    <s v="Follow-up"/>
    <n v="4"/>
  </r>
  <r>
    <s v="P0328"/>
    <n v="76"/>
    <s v="Female"/>
    <s v="Cancer"/>
    <s v="Orthopedics"/>
    <s v="Dr. Arun"/>
    <d v="2024-05-19T00:00:00"/>
    <d v="2024-06-02T00:00:00"/>
    <n v="150142"/>
    <s v="Corporate"/>
    <s v="Cash"/>
    <x v="0"/>
    <s v="Under Treatment"/>
    <n v="2"/>
  </r>
  <r>
    <s v="P0329"/>
    <n v="57"/>
    <s v="Male"/>
    <s v="Infection"/>
    <s v="Neurology"/>
    <s v="Dr. Meena"/>
    <d v="2024-06-08T00:00:00"/>
    <d v="2024-06-27T00:00:00"/>
    <n v="35288"/>
    <s v="None"/>
    <s v="Card"/>
    <x v="3"/>
    <s v="Follow-up"/>
    <n v="2"/>
  </r>
  <r>
    <s v="P0330"/>
    <n v="69"/>
    <s v="Male"/>
    <s v="Orthopedic"/>
    <s v="Orthopedics"/>
    <s v="Dr. Meena"/>
    <d v="2025-06-15T00:00:00"/>
    <d v="2025-06-16T00:00:00"/>
    <n v="185772"/>
    <s v="Government"/>
    <s v="Cash"/>
    <x v="3"/>
    <s v="Under Treatment"/>
    <n v="3"/>
  </r>
  <r>
    <s v="P0331"/>
    <n v="43"/>
    <s v="Female"/>
    <s v="Orthopedic"/>
    <s v="Oncology"/>
    <s v="Dr. Raj"/>
    <d v="2024-05-31T00:00:00"/>
    <d v="2024-06-10T00:00:00"/>
    <n v="164887"/>
    <s v="Private"/>
    <s v="UPI"/>
    <x v="2"/>
    <s v="Recovered"/>
    <n v="1"/>
  </r>
  <r>
    <s v="P0332"/>
    <n v="32"/>
    <s v="Female"/>
    <s v="Neurological"/>
    <s v="Oncology"/>
    <s v="Dr. Arun"/>
    <d v="2024-04-22T00:00:00"/>
    <d v="2024-05-09T00:00:00"/>
    <n v="214604"/>
    <s v="Corporate"/>
    <s v="UPI"/>
    <x v="1"/>
    <s v="Follow-up"/>
    <n v="4"/>
  </r>
  <r>
    <s v="P0333"/>
    <n v="18"/>
    <s v="Female"/>
    <s v="Orthopedic"/>
    <s v="Cardiology"/>
    <s v="Dr. Meena"/>
    <d v="2024-09-19T00:00:00"/>
    <d v="2024-09-25T00:00:00"/>
    <n v="69620"/>
    <s v="Private"/>
    <s v="UPI"/>
    <x v="0"/>
    <s v="Under Treatment"/>
    <n v="3"/>
  </r>
  <r>
    <s v="P0334"/>
    <n v="21"/>
    <s v="Female"/>
    <s v="Cardiac"/>
    <s v="Pulmonology"/>
    <s v="Dr. Kumar"/>
    <d v="2025-02-01T00:00:00"/>
    <d v="2025-02-21T00:00:00"/>
    <n v="163077"/>
    <s v="Government"/>
    <s v="UPI"/>
    <x v="0"/>
    <s v="Under Treatment"/>
    <n v="2"/>
  </r>
  <r>
    <s v="P0335"/>
    <n v="61"/>
    <s v="Male"/>
    <s v="Cancer"/>
    <s v="Neurology"/>
    <s v="Dr. Arun"/>
    <d v="2025-01-20T00:00:00"/>
    <d v="2025-02-03T00:00:00"/>
    <n v="73062"/>
    <s v="Private"/>
    <s v="Cash"/>
    <x v="1"/>
    <s v="Under Treatment"/>
    <n v="5"/>
  </r>
  <r>
    <s v="P0336"/>
    <n v="69"/>
    <s v="Female"/>
    <s v="Cancer"/>
    <s v="Neurology"/>
    <s v="Dr. Priya"/>
    <d v="2025-02-18T00:00:00"/>
    <d v="2025-02-19T00:00:00"/>
    <n v="55743"/>
    <s v="None"/>
    <s v="Insurance Claim"/>
    <x v="2"/>
    <s v="Follow-up"/>
    <n v="2"/>
  </r>
  <r>
    <s v="P0337"/>
    <n v="39"/>
    <s v="Female"/>
    <s v="Diabetes"/>
    <s v="Pulmonology"/>
    <s v="Dr. Raj"/>
    <d v="2024-06-30T00:00:00"/>
    <d v="2024-07-08T00:00:00"/>
    <n v="99443"/>
    <s v="Private"/>
    <s v="Card"/>
    <x v="2"/>
    <s v="Under Treatment"/>
    <n v="4"/>
  </r>
  <r>
    <s v="P0338"/>
    <n v="77"/>
    <s v="Male"/>
    <s v="Orthopedic"/>
    <s v="Cardiology"/>
    <s v="Dr. Arun"/>
    <d v="2024-05-11T00:00:00"/>
    <d v="2024-05-31T00:00:00"/>
    <n v="138050"/>
    <s v="Government"/>
    <s v="Card"/>
    <x v="1"/>
    <s v="Under Treatment"/>
    <n v="5"/>
  </r>
  <r>
    <s v="P0339"/>
    <n v="83"/>
    <s v="Male"/>
    <s v="Orthopedic"/>
    <s v="Cardiology"/>
    <s v="Dr. Raj"/>
    <d v="2025-08-01T00:00:00"/>
    <d v="2025-08-05T00:00:00"/>
    <n v="10835"/>
    <s v="None"/>
    <s v="Insurance Claim"/>
    <x v="1"/>
    <s v="Recovered"/>
    <n v="5"/>
  </r>
  <r>
    <s v="P0340"/>
    <n v="34"/>
    <s v="Male"/>
    <s v="Diabetes"/>
    <s v="Orthopedics"/>
    <s v="Dr. Raj"/>
    <d v="2025-12-23T00:00:00"/>
    <d v="2025-12-25T00:00:00"/>
    <n v="125891"/>
    <s v="Government"/>
    <s v="Cash"/>
    <x v="1"/>
    <s v="Recovered"/>
    <n v="3"/>
  </r>
  <r>
    <s v="P0341"/>
    <n v="52"/>
    <s v="Female"/>
    <s v="Cancer"/>
    <s v="Oncology"/>
    <s v="Dr. Meena"/>
    <d v="2025-12-01T00:00:00"/>
    <d v="2025-12-08T00:00:00"/>
    <n v="13275"/>
    <s v="Government"/>
    <s v="UPI"/>
    <x v="2"/>
    <s v="Recovered"/>
    <n v="2"/>
  </r>
  <r>
    <s v="P0342"/>
    <n v="61"/>
    <s v="Female"/>
    <s v="Diabetes"/>
    <s v="Neurology"/>
    <s v="Dr. Raj"/>
    <d v="2024-09-13T00:00:00"/>
    <d v="2024-09-18T00:00:00"/>
    <n v="218676"/>
    <s v="Corporate"/>
    <s v="Insurance Claim"/>
    <x v="1"/>
    <s v="Recovered"/>
    <n v="3"/>
  </r>
  <r>
    <s v="P0343"/>
    <n v="54"/>
    <s v="Male"/>
    <s v="Respiratory"/>
    <s v="General Medicine"/>
    <s v="Dr. Meena"/>
    <d v="2025-03-02T00:00:00"/>
    <d v="2025-03-19T00:00:00"/>
    <n v="9197"/>
    <s v="None"/>
    <s v="UPI"/>
    <x v="4"/>
    <s v="Under Treatment"/>
    <n v="4"/>
  </r>
  <r>
    <s v="P0344"/>
    <n v="22"/>
    <s v="Male"/>
    <s v="Cancer"/>
    <s v="Orthopedics"/>
    <s v="Dr. Priya"/>
    <d v="2024-09-26T00:00:00"/>
    <d v="2024-10-11T00:00:00"/>
    <n v="245726"/>
    <s v="Corporate"/>
    <s v="UPI"/>
    <x v="1"/>
    <s v="Follow-up"/>
    <n v="1"/>
  </r>
  <r>
    <s v="P0345"/>
    <n v="34"/>
    <s v="Female"/>
    <s v="Diabetes"/>
    <s v="General Medicine"/>
    <s v="Dr. Kumar"/>
    <d v="2024-01-25T00:00:00"/>
    <d v="2024-02-05T00:00:00"/>
    <n v="149552"/>
    <s v="Government"/>
    <s v="UPI"/>
    <x v="2"/>
    <s v="Recovered"/>
    <n v="3"/>
  </r>
  <r>
    <s v="P0346"/>
    <n v="70"/>
    <s v="Male"/>
    <s v="Cardiac"/>
    <s v="General Medicine"/>
    <s v="Dr. Arun"/>
    <d v="2025-06-05T00:00:00"/>
    <d v="2025-06-15T00:00:00"/>
    <n v="55227"/>
    <s v="Government"/>
    <s v="Card"/>
    <x v="3"/>
    <s v="Under Treatment"/>
    <n v="1"/>
  </r>
  <r>
    <s v="P0347"/>
    <n v="78"/>
    <s v="Male"/>
    <s v="Infection"/>
    <s v="Oncology"/>
    <s v="Dr. Raj"/>
    <d v="2024-03-03T00:00:00"/>
    <d v="2024-03-21T00:00:00"/>
    <n v="211021"/>
    <s v="None"/>
    <s v="UPI"/>
    <x v="1"/>
    <s v="Under Treatment"/>
    <n v="4"/>
  </r>
  <r>
    <s v="P0348"/>
    <n v="41"/>
    <s v="Male"/>
    <s v="Infection"/>
    <s v="Pulmonology"/>
    <s v="Dr. Meena"/>
    <d v="2024-01-13T00:00:00"/>
    <d v="2024-02-02T00:00:00"/>
    <n v="47640"/>
    <s v="None"/>
    <s v="Cash"/>
    <x v="2"/>
    <s v="Follow-up"/>
    <n v="1"/>
  </r>
  <r>
    <s v="P0349"/>
    <n v="34"/>
    <s v="Male"/>
    <s v="Diabetes"/>
    <s v="General Medicine"/>
    <s v="Dr. Raj"/>
    <d v="2024-06-21T00:00:00"/>
    <d v="2024-06-29T00:00:00"/>
    <n v="188598"/>
    <s v="Corporate"/>
    <s v="Insurance Claim"/>
    <x v="1"/>
    <s v="Follow-up"/>
    <n v="1"/>
  </r>
  <r>
    <s v="P0350"/>
    <n v="60"/>
    <s v="Female"/>
    <s v="Diabetes"/>
    <s v="General Medicine"/>
    <s v="Dr. Raj"/>
    <d v="2025-11-17T00:00:00"/>
    <d v="2025-12-03T00:00:00"/>
    <n v="7579"/>
    <s v="Government"/>
    <s v="Cash"/>
    <x v="0"/>
    <s v="Under Treatment"/>
    <n v="3"/>
  </r>
  <r>
    <s v="P0351"/>
    <n v="24"/>
    <s v="Female"/>
    <s v="Orthopedic"/>
    <s v="Pulmonology"/>
    <s v="Dr. Kumar"/>
    <d v="2024-11-01T00:00:00"/>
    <d v="2024-11-11T00:00:00"/>
    <n v="51996"/>
    <s v="Government"/>
    <s v="UPI"/>
    <x v="2"/>
    <s v="Recovered"/>
    <n v="5"/>
  </r>
  <r>
    <s v="P0352"/>
    <n v="63"/>
    <s v="Male"/>
    <s v="Neurological"/>
    <s v="Oncology"/>
    <s v="Dr. Meena"/>
    <d v="2024-11-15T00:00:00"/>
    <d v="2024-11-24T00:00:00"/>
    <n v="150913"/>
    <s v="None"/>
    <s v="Cash"/>
    <x v="4"/>
    <s v="Follow-up"/>
    <n v="2"/>
  </r>
  <r>
    <s v="P0353"/>
    <n v="69"/>
    <s v="Female"/>
    <s v="Infection"/>
    <s v="Oncology"/>
    <s v="Dr. Arun"/>
    <d v="2024-02-25T00:00:00"/>
    <d v="2024-03-08T00:00:00"/>
    <n v="112515"/>
    <s v="Government"/>
    <s v="UPI"/>
    <x v="3"/>
    <s v="Follow-up"/>
    <n v="3"/>
  </r>
  <r>
    <s v="P0354"/>
    <n v="48"/>
    <s v="Female"/>
    <s v="Orthopedic"/>
    <s v="Orthopedics"/>
    <s v="Dr. Meena"/>
    <d v="2025-05-23T00:00:00"/>
    <d v="2025-05-25T00:00:00"/>
    <n v="209686"/>
    <s v="Government"/>
    <s v="Card"/>
    <x v="1"/>
    <s v="Follow-up"/>
    <n v="3"/>
  </r>
  <r>
    <s v="P0355"/>
    <n v="79"/>
    <s v="Female"/>
    <s v="Infection"/>
    <s v="Cardiology"/>
    <s v="Dr. Priya"/>
    <d v="2025-05-31T00:00:00"/>
    <d v="2025-06-01T00:00:00"/>
    <n v="104658"/>
    <s v="None"/>
    <s v="Card"/>
    <x v="1"/>
    <s v="Under Treatment"/>
    <n v="5"/>
  </r>
  <r>
    <s v="P0356"/>
    <n v="84"/>
    <s v="Male"/>
    <s v="Diabetes"/>
    <s v="Orthopedics"/>
    <s v="Dr. Raj"/>
    <d v="2024-10-22T00:00:00"/>
    <d v="2024-10-26T00:00:00"/>
    <n v="233294"/>
    <s v="Private"/>
    <s v="Insurance Claim"/>
    <x v="4"/>
    <s v="Follow-up"/>
    <n v="4"/>
  </r>
  <r>
    <s v="P0357"/>
    <n v="63"/>
    <s v="Female"/>
    <s v="Diabetes"/>
    <s v="Pulmonology"/>
    <s v="Dr. Priya"/>
    <d v="2024-06-07T00:00:00"/>
    <d v="2024-06-22T00:00:00"/>
    <n v="85002"/>
    <s v="Government"/>
    <s v="Insurance Claim"/>
    <x v="3"/>
    <s v="Under Treatment"/>
    <n v="5"/>
  </r>
  <r>
    <s v="P0358"/>
    <n v="52"/>
    <s v="Male"/>
    <s v="Infection"/>
    <s v="General Medicine"/>
    <s v="Dr. Priya"/>
    <d v="2025-09-27T00:00:00"/>
    <d v="2025-10-06T00:00:00"/>
    <n v="11924"/>
    <s v="Government"/>
    <s v="Cash"/>
    <x v="0"/>
    <s v="Under Treatment"/>
    <n v="4"/>
  </r>
  <r>
    <s v="P0359"/>
    <n v="23"/>
    <s v="Female"/>
    <s v="Neurological"/>
    <s v="Neurology"/>
    <s v="Dr. Arun"/>
    <d v="2024-01-10T00:00:00"/>
    <d v="2024-01-22T00:00:00"/>
    <n v="146084"/>
    <s v="None"/>
    <s v="Card"/>
    <x v="2"/>
    <s v="Under Treatment"/>
    <n v="3"/>
  </r>
  <r>
    <s v="P0360"/>
    <n v="53"/>
    <s v="Male"/>
    <s v="Diabetes"/>
    <s v="Cardiology"/>
    <s v="Dr. Kumar"/>
    <d v="2025-09-20T00:00:00"/>
    <d v="2025-10-02T00:00:00"/>
    <n v="134687"/>
    <s v="None"/>
    <s v="Cash"/>
    <x v="1"/>
    <s v="Follow-up"/>
    <n v="4"/>
  </r>
  <r>
    <s v="P0361"/>
    <n v="46"/>
    <s v="Female"/>
    <s v="Diabetes"/>
    <s v="Cardiology"/>
    <s v="Dr. Meena"/>
    <d v="2025-11-10T00:00:00"/>
    <d v="2025-11-16T00:00:00"/>
    <n v="94141"/>
    <s v="Private"/>
    <s v="Card"/>
    <x v="1"/>
    <s v="Under Treatment"/>
    <n v="2"/>
  </r>
  <r>
    <s v="P0362"/>
    <n v="25"/>
    <s v="Female"/>
    <s v="Diabetes"/>
    <s v="Oncology"/>
    <s v="Dr. Arun"/>
    <d v="2025-04-11T00:00:00"/>
    <d v="2025-04-22T00:00:00"/>
    <n v="15695"/>
    <s v="Government"/>
    <s v="Card"/>
    <x v="4"/>
    <s v="Follow-up"/>
    <n v="3"/>
  </r>
  <r>
    <s v="P0363"/>
    <n v="30"/>
    <s v="Male"/>
    <s v="Orthopedic"/>
    <s v="Cardiology"/>
    <s v="Dr. Arun"/>
    <d v="2025-01-19T00:00:00"/>
    <d v="2025-01-25T00:00:00"/>
    <n v="26973"/>
    <s v="None"/>
    <s v="Cash"/>
    <x v="2"/>
    <s v="Follow-up"/>
    <n v="3"/>
  </r>
  <r>
    <s v="P0364"/>
    <n v="24"/>
    <s v="Female"/>
    <s v="Neurological"/>
    <s v="Oncology"/>
    <s v="Dr. Arun"/>
    <d v="2024-02-10T00:00:00"/>
    <d v="2024-03-01T00:00:00"/>
    <n v="238947"/>
    <s v="Corporate"/>
    <s v="Cash"/>
    <x v="1"/>
    <s v="Under Treatment"/>
    <n v="5"/>
  </r>
  <r>
    <s v="P0365"/>
    <n v="36"/>
    <s v="Female"/>
    <s v="Infection"/>
    <s v="Cardiology"/>
    <s v="Dr. Kumar"/>
    <d v="2024-07-29T00:00:00"/>
    <d v="2024-08-01T00:00:00"/>
    <n v="79997"/>
    <s v="Private"/>
    <s v="Card"/>
    <x v="1"/>
    <s v="Recovered"/>
    <n v="3"/>
  </r>
  <r>
    <s v="P0366"/>
    <n v="34"/>
    <s v="Female"/>
    <s v="Cardiac"/>
    <s v="General Medicine"/>
    <s v="Dr. Arun"/>
    <d v="2024-05-16T00:00:00"/>
    <d v="2024-05-31T00:00:00"/>
    <n v="35703"/>
    <s v="Corporate"/>
    <s v="Card"/>
    <x v="0"/>
    <s v="Recovered"/>
    <n v="4"/>
  </r>
  <r>
    <s v="P0367"/>
    <n v="41"/>
    <s v="Female"/>
    <s v="Orthopedic"/>
    <s v="Pulmonology"/>
    <s v="Dr. Kumar"/>
    <d v="2024-07-06T00:00:00"/>
    <d v="2024-07-15T00:00:00"/>
    <n v="47032"/>
    <s v="Corporate"/>
    <s v="Insurance Claim"/>
    <x v="0"/>
    <s v="Under Treatment"/>
    <n v="2"/>
  </r>
  <r>
    <s v="P0368"/>
    <n v="73"/>
    <s v="Female"/>
    <s v="Infection"/>
    <s v="General Medicine"/>
    <s v="Dr. Priya"/>
    <d v="2024-04-21T00:00:00"/>
    <d v="2024-04-24T00:00:00"/>
    <n v="231978"/>
    <s v="Private"/>
    <s v="UPI"/>
    <x v="0"/>
    <s v="Under Treatment"/>
    <n v="4"/>
  </r>
  <r>
    <s v="P0369"/>
    <n v="66"/>
    <s v="Male"/>
    <s v="Respiratory"/>
    <s v="General Medicine"/>
    <s v="Dr. Meena"/>
    <d v="2025-06-06T00:00:00"/>
    <d v="2025-06-08T00:00:00"/>
    <n v="181309"/>
    <s v="Private"/>
    <s v="Insurance Claim"/>
    <x v="0"/>
    <s v="Recovered"/>
    <n v="5"/>
  </r>
  <r>
    <s v="P0370"/>
    <n v="74"/>
    <s v="Female"/>
    <s v="Respiratory"/>
    <s v="General Medicine"/>
    <s v="Dr. Kumar"/>
    <d v="2024-01-15T00:00:00"/>
    <d v="2024-01-24T00:00:00"/>
    <n v="58995"/>
    <s v="Private"/>
    <s v="Card"/>
    <x v="3"/>
    <s v="Recovered"/>
    <n v="2"/>
  </r>
  <r>
    <s v="P0371"/>
    <n v="73"/>
    <s v="Female"/>
    <s v="Diabetes"/>
    <s v="Cardiology"/>
    <s v="Dr. Arun"/>
    <d v="2024-05-18T00:00:00"/>
    <d v="2024-06-03T00:00:00"/>
    <n v="42592"/>
    <s v="Government"/>
    <s v="Card"/>
    <x v="4"/>
    <s v="Under Treatment"/>
    <n v="4"/>
  </r>
  <r>
    <s v="P0372"/>
    <n v="47"/>
    <s v="Female"/>
    <s v="Infection"/>
    <s v="Orthopedics"/>
    <s v="Dr. Raj"/>
    <d v="2024-02-22T00:00:00"/>
    <d v="2024-03-13T00:00:00"/>
    <n v="186335"/>
    <s v="Government"/>
    <s v="Insurance Claim"/>
    <x v="4"/>
    <s v="Under Treatment"/>
    <n v="1"/>
  </r>
  <r>
    <s v="P0373"/>
    <n v="24"/>
    <s v="Female"/>
    <s v="Respiratory"/>
    <s v="General Medicine"/>
    <s v="Dr. Kumar"/>
    <d v="2025-03-24T00:00:00"/>
    <d v="2025-04-02T00:00:00"/>
    <n v="161605"/>
    <s v="Private"/>
    <s v="UPI"/>
    <x v="0"/>
    <s v="Follow-up"/>
    <n v="2"/>
  </r>
  <r>
    <s v="P0374"/>
    <n v="30"/>
    <s v="Male"/>
    <s v="Cardiac"/>
    <s v="Neurology"/>
    <s v="Dr. Priya"/>
    <d v="2024-02-20T00:00:00"/>
    <d v="2024-03-10T00:00:00"/>
    <n v="65037"/>
    <s v="Corporate"/>
    <s v="Insurance Claim"/>
    <x v="0"/>
    <s v="Under Treatment"/>
    <n v="5"/>
  </r>
  <r>
    <s v="P0375"/>
    <n v="51"/>
    <s v="Male"/>
    <s v="Orthopedic"/>
    <s v="Pulmonology"/>
    <s v="Dr. Meena"/>
    <d v="2024-02-26T00:00:00"/>
    <d v="2024-03-04T00:00:00"/>
    <n v="82298"/>
    <s v="Corporate"/>
    <s v="Insurance Claim"/>
    <x v="1"/>
    <s v="Follow-up"/>
    <n v="4"/>
  </r>
  <r>
    <s v="P0376"/>
    <n v="73"/>
    <s v="Male"/>
    <s v="Diabetes"/>
    <s v="General Medicine"/>
    <s v="Dr. Raj"/>
    <d v="2025-07-30T00:00:00"/>
    <d v="2025-08-18T00:00:00"/>
    <n v="123563"/>
    <s v="Corporate"/>
    <s v="UPI"/>
    <x v="0"/>
    <s v="Follow-up"/>
    <n v="2"/>
  </r>
  <r>
    <s v="P0377"/>
    <n v="79"/>
    <s v="Female"/>
    <s v="Neurological"/>
    <s v="Oncology"/>
    <s v="Dr. Priya"/>
    <d v="2024-06-02T00:00:00"/>
    <d v="2024-06-08T00:00:00"/>
    <n v="150242"/>
    <s v="Private"/>
    <s v="Card"/>
    <x v="3"/>
    <s v="Recovered"/>
    <n v="4"/>
  </r>
  <r>
    <s v="P0378"/>
    <n v="72"/>
    <s v="Female"/>
    <s v="Cancer"/>
    <s v="Pulmonology"/>
    <s v="Dr. Raj"/>
    <d v="2025-06-11T00:00:00"/>
    <d v="2025-06-14T00:00:00"/>
    <n v="90839"/>
    <s v="Government"/>
    <s v="UPI"/>
    <x v="3"/>
    <s v="Under Treatment"/>
    <n v="2"/>
  </r>
  <r>
    <s v="P0379"/>
    <n v="29"/>
    <s v="Male"/>
    <s v="Cardiac"/>
    <s v="Neurology"/>
    <s v="Dr. Raj"/>
    <d v="2025-04-05T00:00:00"/>
    <d v="2025-04-20T00:00:00"/>
    <n v="188240"/>
    <s v="Government"/>
    <s v="Cash"/>
    <x v="4"/>
    <s v="Recovered"/>
    <n v="5"/>
  </r>
  <r>
    <s v="P0380"/>
    <n v="54"/>
    <s v="Male"/>
    <s v="Infection"/>
    <s v="General Medicine"/>
    <s v="Dr. Raj"/>
    <d v="2025-02-14T00:00:00"/>
    <d v="2025-02-24T00:00:00"/>
    <n v="230199"/>
    <s v="None"/>
    <s v="Insurance Claim"/>
    <x v="3"/>
    <s v="Recovered"/>
    <n v="5"/>
  </r>
  <r>
    <s v="P0381"/>
    <n v="29"/>
    <s v="Female"/>
    <s v="Respiratory"/>
    <s v="Orthopedics"/>
    <s v="Dr. Arun"/>
    <d v="2025-05-16T00:00:00"/>
    <d v="2025-05-25T00:00:00"/>
    <n v="47197"/>
    <s v="Private"/>
    <s v="Card"/>
    <x v="2"/>
    <s v="Under Treatment"/>
    <n v="4"/>
  </r>
  <r>
    <s v="P0382"/>
    <n v="30"/>
    <s v="Female"/>
    <s v="Neurological"/>
    <s v="Oncology"/>
    <s v="Dr. Kumar"/>
    <d v="2024-05-27T00:00:00"/>
    <d v="2024-06-11T00:00:00"/>
    <n v="97393"/>
    <s v="Government"/>
    <s v="Cash"/>
    <x v="1"/>
    <s v="Follow-up"/>
    <n v="3"/>
  </r>
  <r>
    <s v="P0383"/>
    <n v="24"/>
    <s v="Female"/>
    <s v="Neurological"/>
    <s v="Neurology"/>
    <s v="Dr. Priya"/>
    <d v="2024-04-22T00:00:00"/>
    <d v="2024-05-12T00:00:00"/>
    <n v="157210"/>
    <s v="Corporate"/>
    <s v="UPI"/>
    <x v="0"/>
    <s v="Recovered"/>
    <n v="3"/>
  </r>
  <r>
    <s v="P0384"/>
    <n v="31"/>
    <s v="Female"/>
    <s v="Cardiac"/>
    <s v="Pulmonology"/>
    <s v="Dr. Arun"/>
    <d v="2025-09-06T00:00:00"/>
    <d v="2025-09-13T00:00:00"/>
    <n v="116718"/>
    <s v="Private"/>
    <s v="Card"/>
    <x v="3"/>
    <s v="Follow-up"/>
    <n v="5"/>
  </r>
  <r>
    <s v="P0385"/>
    <n v="33"/>
    <s v="Female"/>
    <s v="Infection"/>
    <s v="General Medicine"/>
    <s v="Dr. Meena"/>
    <d v="2025-01-12T00:00:00"/>
    <d v="2025-01-20T00:00:00"/>
    <n v="159013"/>
    <s v="Corporate"/>
    <s v="Card"/>
    <x v="0"/>
    <s v="Under Treatment"/>
    <n v="2"/>
  </r>
  <r>
    <s v="P0386"/>
    <n v="52"/>
    <s v="Female"/>
    <s v="Infection"/>
    <s v="Cardiology"/>
    <s v="Dr. Priya"/>
    <d v="2024-03-02T00:00:00"/>
    <d v="2024-03-11T00:00:00"/>
    <n v="74196"/>
    <s v="Private"/>
    <s v="UPI"/>
    <x v="4"/>
    <s v="Under Treatment"/>
    <n v="3"/>
  </r>
  <r>
    <s v="P0387"/>
    <n v="41"/>
    <s v="Female"/>
    <s v="Respiratory"/>
    <s v="Pulmonology"/>
    <s v="Dr. Raj"/>
    <d v="2024-04-03T00:00:00"/>
    <d v="2024-04-07T00:00:00"/>
    <n v="116249"/>
    <s v="Private"/>
    <s v="Insurance Claim"/>
    <x v="3"/>
    <s v="Under Treatment"/>
    <n v="1"/>
  </r>
  <r>
    <s v="P0388"/>
    <n v="61"/>
    <s v="Female"/>
    <s v="Respiratory"/>
    <s v="Cardiology"/>
    <s v="Dr. Meena"/>
    <d v="2025-03-21T00:00:00"/>
    <d v="2025-04-10T00:00:00"/>
    <n v="226432"/>
    <s v="Corporate"/>
    <s v="UPI"/>
    <x v="2"/>
    <s v="Under Treatment"/>
    <n v="4"/>
  </r>
  <r>
    <s v="P0389"/>
    <n v="53"/>
    <s v="Male"/>
    <s v="Respiratory"/>
    <s v="Oncology"/>
    <s v="Dr. Meena"/>
    <d v="2025-07-26T00:00:00"/>
    <d v="2025-08-14T00:00:00"/>
    <n v="205134"/>
    <s v="Government"/>
    <s v="Card"/>
    <x v="0"/>
    <s v="Recovered"/>
    <n v="3"/>
  </r>
  <r>
    <s v="P0390"/>
    <n v="64"/>
    <s v="Male"/>
    <s v="Neurological"/>
    <s v="Oncology"/>
    <s v="Dr. Priya"/>
    <d v="2024-03-20T00:00:00"/>
    <d v="2024-03-29T00:00:00"/>
    <n v="131405"/>
    <s v="None"/>
    <s v="Cash"/>
    <x v="4"/>
    <s v="Under Treatment"/>
    <n v="3"/>
  </r>
  <r>
    <s v="P0391"/>
    <n v="41"/>
    <s v="Male"/>
    <s v="Neurological"/>
    <s v="General Medicine"/>
    <s v="Dr. Kumar"/>
    <d v="2024-02-07T00:00:00"/>
    <d v="2024-02-15T00:00:00"/>
    <n v="185804"/>
    <s v="Government"/>
    <s v="Card"/>
    <x v="4"/>
    <s v="Recovered"/>
    <n v="4"/>
  </r>
  <r>
    <s v="P0392"/>
    <n v="55"/>
    <s v="Female"/>
    <s v="Cardiac"/>
    <s v="Neurology"/>
    <s v="Dr. Meena"/>
    <d v="2024-05-05T00:00:00"/>
    <d v="2024-05-10T00:00:00"/>
    <n v="78331"/>
    <s v="Private"/>
    <s v="Cash"/>
    <x v="1"/>
    <s v="Follow-up"/>
    <n v="1"/>
  </r>
  <r>
    <s v="P0393"/>
    <n v="61"/>
    <s v="Male"/>
    <s v="Respiratory"/>
    <s v="Neurology"/>
    <s v="Dr. Arun"/>
    <d v="2024-05-05T00:00:00"/>
    <d v="2024-05-14T00:00:00"/>
    <n v="208867"/>
    <s v="None"/>
    <s v="UPI"/>
    <x v="3"/>
    <s v="Follow-up"/>
    <n v="2"/>
  </r>
  <r>
    <s v="P0394"/>
    <n v="49"/>
    <s v="Male"/>
    <s v="Respiratory"/>
    <s v="Cardiology"/>
    <s v="Dr. Meena"/>
    <d v="2024-03-10T00:00:00"/>
    <d v="2024-03-27T00:00:00"/>
    <n v="136562"/>
    <s v="Government"/>
    <s v="Insurance Claim"/>
    <x v="4"/>
    <s v="Follow-up"/>
    <n v="5"/>
  </r>
  <r>
    <s v="P0395"/>
    <n v="71"/>
    <s v="Female"/>
    <s v="Cancer"/>
    <s v="Cardiology"/>
    <s v="Dr. Meena"/>
    <d v="2024-07-15T00:00:00"/>
    <d v="2024-07-26T00:00:00"/>
    <n v="98177"/>
    <s v="Government"/>
    <s v="Insurance Claim"/>
    <x v="4"/>
    <s v="Follow-up"/>
    <n v="5"/>
  </r>
  <r>
    <s v="P0396"/>
    <n v="35"/>
    <s v="Female"/>
    <s v="Cancer"/>
    <s v="Pulmonology"/>
    <s v="Dr. Arun"/>
    <d v="2024-12-30T00:00:00"/>
    <d v="2025-01-17T00:00:00"/>
    <n v="236653"/>
    <s v="None"/>
    <s v="UPI"/>
    <x v="1"/>
    <s v="Under Treatment"/>
    <n v="2"/>
  </r>
  <r>
    <s v="P0397"/>
    <n v="30"/>
    <s v="Female"/>
    <s v="Diabetes"/>
    <s v="Orthopedics"/>
    <s v="Dr. Kumar"/>
    <d v="2025-10-25T00:00:00"/>
    <d v="2025-11-14T00:00:00"/>
    <n v="81870"/>
    <s v="Corporate"/>
    <s v="Cash"/>
    <x v="2"/>
    <s v="Follow-up"/>
    <n v="1"/>
  </r>
  <r>
    <s v="P0398"/>
    <n v="57"/>
    <s v="Male"/>
    <s v="Diabetes"/>
    <s v="General Medicine"/>
    <s v="Dr. Kumar"/>
    <d v="2025-04-20T00:00:00"/>
    <d v="2025-05-02T00:00:00"/>
    <n v="8388"/>
    <s v="None"/>
    <s v="Card"/>
    <x v="2"/>
    <s v="Under Treatment"/>
    <n v="4"/>
  </r>
  <r>
    <s v="P0399"/>
    <n v="23"/>
    <s v="Female"/>
    <s v="Orthopedic"/>
    <s v="Pulmonology"/>
    <s v="Dr. Priya"/>
    <d v="2024-04-10T00:00:00"/>
    <d v="2024-04-15T00:00:00"/>
    <n v="220828"/>
    <s v="Private"/>
    <s v="Insurance Claim"/>
    <x v="1"/>
    <s v="Under Treatment"/>
    <n v="2"/>
  </r>
  <r>
    <s v="P0400"/>
    <n v="66"/>
    <s v="Male"/>
    <s v="Infection"/>
    <s v="Cardiology"/>
    <s v="Dr. Meena"/>
    <d v="2025-12-14T00:00:00"/>
    <d v="2026-01-01T00:00:00"/>
    <n v="69462"/>
    <s v="None"/>
    <s v="Card"/>
    <x v="2"/>
    <s v="Follow-up"/>
    <n v="5"/>
  </r>
  <r>
    <s v="P0401"/>
    <n v="78"/>
    <s v="Female"/>
    <s v="Orthopedic"/>
    <s v="Cardiology"/>
    <s v="Dr. Kumar"/>
    <d v="2025-09-17T00:00:00"/>
    <d v="2025-10-01T00:00:00"/>
    <n v="78328"/>
    <s v="Private"/>
    <s v="Insurance Claim"/>
    <x v="4"/>
    <s v="Follow-up"/>
    <n v="3"/>
  </r>
  <r>
    <s v="P0402"/>
    <n v="51"/>
    <s v="Female"/>
    <s v="Diabetes"/>
    <s v="Oncology"/>
    <s v="Dr. Kumar"/>
    <d v="2025-05-30T00:00:00"/>
    <d v="2025-06-10T00:00:00"/>
    <n v="130467"/>
    <s v="Private"/>
    <s v="Cash"/>
    <x v="1"/>
    <s v="Follow-up"/>
    <n v="5"/>
  </r>
  <r>
    <s v="P0403"/>
    <n v="59"/>
    <s v="Male"/>
    <s v="Cardiac"/>
    <s v="Neurology"/>
    <s v="Dr. Kumar"/>
    <d v="2025-01-26T00:00:00"/>
    <d v="2025-02-08T00:00:00"/>
    <n v="121046"/>
    <s v="Private"/>
    <s v="UPI"/>
    <x v="4"/>
    <s v="Follow-up"/>
    <n v="1"/>
  </r>
  <r>
    <s v="P0404"/>
    <n v="19"/>
    <s v="Male"/>
    <s v="Orthopedic"/>
    <s v="Oncology"/>
    <s v="Dr. Meena"/>
    <d v="2025-09-15T00:00:00"/>
    <d v="2025-09-25T00:00:00"/>
    <n v="97743"/>
    <s v="Private"/>
    <s v="Insurance Claim"/>
    <x v="2"/>
    <s v="Recovered"/>
    <n v="5"/>
  </r>
  <r>
    <s v="P0405"/>
    <n v="54"/>
    <s v="Male"/>
    <s v="Cancer"/>
    <s v="Pulmonology"/>
    <s v="Dr. Raj"/>
    <d v="2025-08-24T00:00:00"/>
    <d v="2025-09-13T00:00:00"/>
    <n v="218787"/>
    <s v="Private"/>
    <s v="Card"/>
    <x v="1"/>
    <s v="Follow-up"/>
    <n v="5"/>
  </r>
  <r>
    <s v="P0406"/>
    <n v="34"/>
    <s v="Female"/>
    <s v="Neurological"/>
    <s v="General Medicine"/>
    <s v="Dr. Kumar"/>
    <d v="2024-11-12T00:00:00"/>
    <d v="2024-11-24T00:00:00"/>
    <n v="176285"/>
    <s v="Government"/>
    <s v="UPI"/>
    <x v="2"/>
    <s v="Under Treatment"/>
    <n v="4"/>
  </r>
  <r>
    <s v="P0407"/>
    <n v="18"/>
    <s v="Male"/>
    <s v="Diabetes"/>
    <s v="Pulmonology"/>
    <s v="Dr. Kumar"/>
    <d v="2025-10-31T00:00:00"/>
    <d v="2025-11-06T00:00:00"/>
    <n v="248790"/>
    <s v="None"/>
    <s v="Insurance Claim"/>
    <x v="2"/>
    <s v="Under Treatment"/>
    <n v="2"/>
  </r>
  <r>
    <s v="P0408"/>
    <n v="57"/>
    <s v="Female"/>
    <s v="Neurological"/>
    <s v="General Medicine"/>
    <s v="Dr. Raj"/>
    <d v="2024-04-04T00:00:00"/>
    <d v="2024-04-06T00:00:00"/>
    <n v="135622"/>
    <s v="None"/>
    <s v="Insurance Claim"/>
    <x v="1"/>
    <s v="Follow-up"/>
    <n v="5"/>
  </r>
  <r>
    <s v="P0409"/>
    <n v="80"/>
    <s v="Male"/>
    <s v="Neurological"/>
    <s v="General Medicine"/>
    <s v="Dr. Arun"/>
    <d v="2024-09-30T00:00:00"/>
    <d v="2024-10-16T00:00:00"/>
    <n v="188957"/>
    <s v="None"/>
    <s v="Cash"/>
    <x v="3"/>
    <s v="Recovered"/>
    <n v="2"/>
  </r>
  <r>
    <s v="P0410"/>
    <n v="78"/>
    <s v="Male"/>
    <s v="Respiratory"/>
    <s v="General Medicine"/>
    <s v="Dr. Raj"/>
    <d v="2025-09-23T00:00:00"/>
    <d v="2025-09-30T00:00:00"/>
    <n v="174317"/>
    <s v="Corporate"/>
    <s v="Card"/>
    <x v="4"/>
    <s v="Under Treatment"/>
    <n v="4"/>
  </r>
  <r>
    <s v="P0411"/>
    <n v="84"/>
    <s v="Male"/>
    <s v="Cancer"/>
    <s v="Oncology"/>
    <s v="Dr. Kumar"/>
    <d v="2024-08-16T00:00:00"/>
    <d v="2024-08-20T00:00:00"/>
    <n v="60696"/>
    <s v="Corporate"/>
    <s v="Insurance Claim"/>
    <x v="0"/>
    <s v="Follow-up"/>
    <n v="2"/>
  </r>
  <r>
    <s v="P0412"/>
    <n v="74"/>
    <s v="Female"/>
    <s v="Infection"/>
    <s v="Orthopedics"/>
    <s v="Dr. Priya"/>
    <d v="2025-06-24T00:00:00"/>
    <d v="2025-07-11T00:00:00"/>
    <n v="139102"/>
    <s v="None"/>
    <s v="Insurance Claim"/>
    <x v="2"/>
    <s v="Follow-up"/>
    <n v="2"/>
  </r>
  <r>
    <s v="P0413"/>
    <n v="80"/>
    <s v="Male"/>
    <s v="Infection"/>
    <s v="Cardiology"/>
    <s v="Dr. Arun"/>
    <d v="2024-08-29T00:00:00"/>
    <d v="2024-09-15T00:00:00"/>
    <n v="227613"/>
    <s v="Corporate"/>
    <s v="Card"/>
    <x v="1"/>
    <s v="Recovered"/>
    <n v="3"/>
  </r>
  <r>
    <s v="P0414"/>
    <n v="68"/>
    <s v="Male"/>
    <s v="Neurological"/>
    <s v="Orthopedics"/>
    <s v="Dr. Raj"/>
    <d v="2024-12-18T00:00:00"/>
    <d v="2025-01-01T00:00:00"/>
    <n v="172946"/>
    <s v="None"/>
    <s v="Cash"/>
    <x v="0"/>
    <s v="Under Treatment"/>
    <n v="3"/>
  </r>
  <r>
    <s v="P0415"/>
    <n v="82"/>
    <s v="Male"/>
    <s v="Respiratory"/>
    <s v="Pulmonology"/>
    <s v="Dr. Raj"/>
    <d v="2025-02-16T00:00:00"/>
    <d v="2025-03-08T00:00:00"/>
    <n v="52035"/>
    <s v="Private"/>
    <s v="UPI"/>
    <x v="1"/>
    <s v="Under Treatment"/>
    <n v="5"/>
  </r>
  <r>
    <s v="P0416"/>
    <n v="65"/>
    <s v="Male"/>
    <s v="Respiratory"/>
    <s v="Pulmonology"/>
    <s v="Dr. Arun"/>
    <d v="2025-10-30T00:00:00"/>
    <d v="2025-11-19T00:00:00"/>
    <n v="74029"/>
    <s v="Government"/>
    <s v="Insurance Claim"/>
    <x v="2"/>
    <s v="Recovered"/>
    <n v="4"/>
  </r>
  <r>
    <s v="P0417"/>
    <n v="77"/>
    <s v="Male"/>
    <s v="Cardiac"/>
    <s v="Pulmonology"/>
    <s v="Dr. Arun"/>
    <d v="2024-07-05T00:00:00"/>
    <d v="2024-07-16T00:00:00"/>
    <n v="232263"/>
    <s v="None"/>
    <s v="UPI"/>
    <x v="0"/>
    <s v="Recovered"/>
    <n v="4"/>
  </r>
  <r>
    <s v="P0418"/>
    <n v="20"/>
    <s v="Male"/>
    <s v="Respiratory"/>
    <s v="Oncology"/>
    <s v="Dr. Kumar"/>
    <d v="2024-11-11T00:00:00"/>
    <d v="2024-11-19T00:00:00"/>
    <n v="122994"/>
    <s v="Government"/>
    <s v="Insurance Claim"/>
    <x v="2"/>
    <s v="Recovered"/>
    <n v="4"/>
  </r>
  <r>
    <s v="P0419"/>
    <n v="19"/>
    <s v="Male"/>
    <s v="Orthopedic"/>
    <s v="General Medicine"/>
    <s v="Dr. Priya"/>
    <d v="2024-10-10T00:00:00"/>
    <d v="2024-10-19T00:00:00"/>
    <n v="101700"/>
    <s v="Private"/>
    <s v="Cash"/>
    <x v="2"/>
    <s v="Under Treatment"/>
    <n v="5"/>
  </r>
  <r>
    <s v="P0420"/>
    <n v="69"/>
    <s v="Male"/>
    <s v="Infection"/>
    <s v="Orthopedics"/>
    <s v="Dr. Arun"/>
    <d v="2025-08-22T00:00:00"/>
    <d v="2025-08-29T00:00:00"/>
    <n v="75322"/>
    <s v="Government"/>
    <s v="UPI"/>
    <x v="1"/>
    <s v="Follow-up"/>
    <n v="5"/>
  </r>
  <r>
    <s v="P0421"/>
    <n v="32"/>
    <s v="Female"/>
    <s v="Infection"/>
    <s v="Oncology"/>
    <s v="Dr. Priya"/>
    <d v="2025-02-25T00:00:00"/>
    <d v="2025-02-26T00:00:00"/>
    <n v="168088"/>
    <s v="Private"/>
    <s v="Cash"/>
    <x v="1"/>
    <s v="Follow-up"/>
    <n v="4"/>
  </r>
  <r>
    <s v="P0422"/>
    <n v="21"/>
    <s v="Female"/>
    <s v="Cardiac"/>
    <s v="Orthopedics"/>
    <s v="Dr. Arun"/>
    <d v="2024-08-16T00:00:00"/>
    <d v="2024-09-04T00:00:00"/>
    <n v="152143"/>
    <s v="Corporate"/>
    <s v="Insurance Claim"/>
    <x v="3"/>
    <s v="Recovered"/>
    <n v="5"/>
  </r>
  <r>
    <s v="P0423"/>
    <n v="24"/>
    <s v="Female"/>
    <s v="Neurological"/>
    <s v="Cardiology"/>
    <s v="Dr. Kumar"/>
    <d v="2025-10-16T00:00:00"/>
    <d v="2025-10-22T00:00:00"/>
    <n v="92737"/>
    <s v="None"/>
    <s v="UPI"/>
    <x v="3"/>
    <s v="Recovered"/>
    <n v="4"/>
  </r>
  <r>
    <s v="P0424"/>
    <n v="71"/>
    <s v="Male"/>
    <s v="Respiratory"/>
    <s v="Cardiology"/>
    <s v="Dr. Raj"/>
    <d v="2024-11-04T00:00:00"/>
    <d v="2024-11-19T00:00:00"/>
    <n v="68474"/>
    <s v="Government"/>
    <s v="Insurance Claim"/>
    <x v="4"/>
    <s v="Recovered"/>
    <n v="4"/>
  </r>
  <r>
    <s v="P0425"/>
    <n v="60"/>
    <s v="Male"/>
    <s v="Respiratory"/>
    <s v="Cardiology"/>
    <s v="Dr. Priya"/>
    <d v="2024-09-19T00:00:00"/>
    <d v="2024-10-04T00:00:00"/>
    <n v="216884"/>
    <s v="Corporate"/>
    <s v="Insurance Claim"/>
    <x v="0"/>
    <s v="Recovered"/>
    <n v="3"/>
  </r>
  <r>
    <s v="P0426"/>
    <n v="61"/>
    <s v="Female"/>
    <s v="Cardiac"/>
    <s v="Orthopedics"/>
    <s v="Dr. Priya"/>
    <d v="2024-02-27T00:00:00"/>
    <d v="2024-03-10T00:00:00"/>
    <n v="28269"/>
    <s v="Government"/>
    <s v="Cash"/>
    <x v="1"/>
    <s v="Under Treatment"/>
    <n v="3"/>
  </r>
  <r>
    <s v="P0427"/>
    <n v="62"/>
    <s v="Male"/>
    <s v="Cancer"/>
    <s v="Oncology"/>
    <s v="Dr. Kumar"/>
    <d v="2025-11-11T00:00:00"/>
    <d v="2025-11-28T00:00:00"/>
    <n v="169563"/>
    <s v="Government"/>
    <s v="Insurance Claim"/>
    <x v="3"/>
    <s v="Recovered"/>
    <n v="2"/>
  </r>
  <r>
    <s v="P0428"/>
    <n v="76"/>
    <s v="Male"/>
    <s v="Cancer"/>
    <s v="Orthopedics"/>
    <s v="Dr. Meena"/>
    <d v="2024-02-06T00:00:00"/>
    <d v="2024-02-24T00:00:00"/>
    <n v="36754"/>
    <s v="None"/>
    <s v="Cash"/>
    <x v="2"/>
    <s v="Under Treatment"/>
    <n v="3"/>
  </r>
  <r>
    <s v="P0429"/>
    <n v="61"/>
    <s v="Male"/>
    <s v="Respiratory"/>
    <s v="Orthopedics"/>
    <s v="Dr. Priya"/>
    <d v="2024-07-02T00:00:00"/>
    <d v="2024-07-16T00:00:00"/>
    <n v="59236"/>
    <s v="Corporate"/>
    <s v="Insurance Claim"/>
    <x v="4"/>
    <s v="Under Treatment"/>
    <n v="4"/>
  </r>
  <r>
    <s v="P0430"/>
    <n v="48"/>
    <s v="Male"/>
    <s v="Cardiac"/>
    <s v="Oncology"/>
    <s v="Dr. Kumar"/>
    <d v="2024-10-21T00:00:00"/>
    <d v="2024-11-06T00:00:00"/>
    <n v="198584"/>
    <s v="Private"/>
    <s v="Card"/>
    <x v="4"/>
    <s v="Follow-up"/>
    <n v="5"/>
  </r>
  <r>
    <s v="P0431"/>
    <n v="73"/>
    <s v="Female"/>
    <s v="Infection"/>
    <s v="Oncology"/>
    <s v="Dr. Arun"/>
    <d v="2025-12-10T00:00:00"/>
    <d v="2025-12-25T00:00:00"/>
    <n v="116892"/>
    <s v="Government"/>
    <s v="Card"/>
    <x v="4"/>
    <s v="Follow-up"/>
    <n v="3"/>
  </r>
  <r>
    <s v="P0432"/>
    <n v="45"/>
    <s v="Female"/>
    <s v="Diabetes"/>
    <s v="Oncology"/>
    <s v="Dr. Meena"/>
    <d v="2025-06-11T00:00:00"/>
    <d v="2025-07-01T00:00:00"/>
    <n v="230037"/>
    <s v="None"/>
    <s v="UPI"/>
    <x v="1"/>
    <s v="Under Treatment"/>
    <n v="1"/>
  </r>
  <r>
    <s v="P0433"/>
    <n v="18"/>
    <s v="Female"/>
    <s v="Infection"/>
    <s v="Neurology"/>
    <s v="Dr. Meena"/>
    <d v="2024-12-28T00:00:00"/>
    <d v="2025-01-01T00:00:00"/>
    <n v="204214"/>
    <s v="Private"/>
    <s v="UPI"/>
    <x v="0"/>
    <s v="Follow-up"/>
    <n v="4"/>
  </r>
  <r>
    <s v="P0434"/>
    <n v="59"/>
    <s v="Female"/>
    <s v="Neurological"/>
    <s v="Neurology"/>
    <s v="Dr. Priya"/>
    <d v="2025-12-16T00:00:00"/>
    <d v="2025-12-24T00:00:00"/>
    <n v="157286"/>
    <s v="Corporate"/>
    <s v="Cash"/>
    <x v="0"/>
    <s v="Under Treatment"/>
    <n v="1"/>
  </r>
  <r>
    <s v="P0435"/>
    <n v="65"/>
    <s v="Male"/>
    <s v="Respiratory"/>
    <s v="General Medicine"/>
    <s v="Dr. Arun"/>
    <d v="2024-09-07T00:00:00"/>
    <d v="2024-09-16T00:00:00"/>
    <n v="148083"/>
    <s v="Corporate"/>
    <s v="Insurance Claim"/>
    <x v="3"/>
    <s v="Under Treatment"/>
    <n v="1"/>
  </r>
  <r>
    <s v="P0436"/>
    <n v="83"/>
    <s v="Male"/>
    <s v="Cancer"/>
    <s v="Oncology"/>
    <s v="Dr. Kumar"/>
    <d v="2024-06-07T00:00:00"/>
    <d v="2024-06-12T00:00:00"/>
    <n v="120219"/>
    <s v="Private"/>
    <s v="Card"/>
    <x v="3"/>
    <s v="Follow-up"/>
    <n v="3"/>
  </r>
  <r>
    <s v="P0437"/>
    <n v="28"/>
    <s v="Female"/>
    <s v="Neurological"/>
    <s v="Orthopedics"/>
    <s v="Dr. Raj"/>
    <d v="2025-01-04T00:00:00"/>
    <d v="2025-01-18T00:00:00"/>
    <n v="147131"/>
    <s v="Private"/>
    <s v="Insurance Claim"/>
    <x v="1"/>
    <s v="Recovered"/>
    <n v="3"/>
  </r>
  <r>
    <s v="P0438"/>
    <n v="51"/>
    <s v="Female"/>
    <s v="Neurological"/>
    <s v="Oncology"/>
    <s v="Dr. Arun"/>
    <d v="2025-02-13T00:00:00"/>
    <d v="2025-02-17T00:00:00"/>
    <n v="202543"/>
    <s v="Government"/>
    <s v="Card"/>
    <x v="1"/>
    <s v="Recovered"/>
    <n v="2"/>
  </r>
  <r>
    <s v="P0439"/>
    <n v="65"/>
    <s v="Male"/>
    <s v="Diabetes"/>
    <s v="Oncology"/>
    <s v="Dr. Arun"/>
    <d v="2024-07-29T00:00:00"/>
    <d v="2024-08-07T00:00:00"/>
    <n v="221995"/>
    <s v="Private"/>
    <s v="Card"/>
    <x v="1"/>
    <s v="Follow-up"/>
    <n v="2"/>
  </r>
  <r>
    <s v="P0440"/>
    <n v="68"/>
    <s v="Male"/>
    <s v="Respiratory"/>
    <s v="Orthopedics"/>
    <s v="Dr. Raj"/>
    <d v="2024-07-22T00:00:00"/>
    <d v="2024-07-31T00:00:00"/>
    <n v="200615"/>
    <s v="Private"/>
    <s v="UPI"/>
    <x v="2"/>
    <s v="Under Treatment"/>
    <n v="3"/>
  </r>
  <r>
    <s v="P0441"/>
    <n v="40"/>
    <s v="Female"/>
    <s v="Diabetes"/>
    <s v="Oncology"/>
    <s v="Dr. Raj"/>
    <d v="2024-03-18T00:00:00"/>
    <d v="2024-04-03T00:00:00"/>
    <n v="168361"/>
    <s v="Government"/>
    <s v="Insurance Claim"/>
    <x v="0"/>
    <s v="Under Treatment"/>
    <n v="2"/>
  </r>
  <r>
    <s v="P0442"/>
    <n v="75"/>
    <s v="Female"/>
    <s v="Neurological"/>
    <s v="Pulmonology"/>
    <s v="Dr. Raj"/>
    <d v="2025-12-21T00:00:00"/>
    <d v="2025-12-31T00:00:00"/>
    <n v="36652"/>
    <s v="Private"/>
    <s v="UPI"/>
    <x v="3"/>
    <s v="Under Treatment"/>
    <n v="1"/>
  </r>
  <r>
    <s v="P0443"/>
    <n v="48"/>
    <s v="Male"/>
    <s v="Diabetes"/>
    <s v="Orthopedics"/>
    <s v="Dr. Priya"/>
    <d v="2025-02-10T00:00:00"/>
    <d v="2025-03-02T00:00:00"/>
    <n v="21888"/>
    <s v="Corporate"/>
    <s v="Card"/>
    <x v="4"/>
    <s v="Recovered"/>
    <n v="2"/>
  </r>
  <r>
    <s v="P0444"/>
    <n v="84"/>
    <s v="Female"/>
    <s v="Respiratory"/>
    <s v="Pulmonology"/>
    <s v="Dr. Kumar"/>
    <d v="2025-09-09T00:00:00"/>
    <d v="2025-09-29T00:00:00"/>
    <n v="156932"/>
    <s v="Corporate"/>
    <s v="Cash"/>
    <x v="3"/>
    <s v="Follow-up"/>
    <n v="2"/>
  </r>
  <r>
    <s v="P0445"/>
    <n v="65"/>
    <s v="Male"/>
    <s v="Respiratory"/>
    <s v="Oncology"/>
    <s v="Dr. Kumar"/>
    <d v="2024-08-05T00:00:00"/>
    <d v="2024-08-22T00:00:00"/>
    <n v="203937"/>
    <s v="Government"/>
    <s v="UPI"/>
    <x v="4"/>
    <s v="Under Treatment"/>
    <n v="3"/>
  </r>
  <r>
    <s v="P0446"/>
    <n v="67"/>
    <s v="Male"/>
    <s v="Cardiac"/>
    <s v="Orthopedics"/>
    <s v="Dr. Raj"/>
    <d v="2025-03-19T00:00:00"/>
    <d v="2025-03-23T00:00:00"/>
    <n v="106351"/>
    <s v="None"/>
    <s v="Insurance Claim"/>
    <x v="0"/>
    <s v="Follow-up"/>
    <n v="3"/>
  </r>
  <r>
    <s v="P0447"/>
    <n v="62"/>
    <s v="Male"/>
    <s v="Infection"/>
    <s v="Oncology"/>
    <s v="Dr. Priya"/>
    <d v="2024-08-31T00:00:00"/>
    <d v="2024-09-15T00:00:00"/>
    <n v="195783"/>
    <s v="Government"/>
    <s v="Card"/>
    <x v="1"/>
    <s v="Recovered"/>
    <n v="4"/>
  </r>
  <r>
    <s v="P0448"/>
    <n v="43"/>
    <s v="Male"/>
    <s v="Cancer"/>
    <s v="Oncology"/>
    <s v="Dr. Priya"/>
    <d v="2025-04-13T00:00:00"/>
    <d v="2025-04-18T00:00:00"/>
    <n v="149223"/>
    <s v="None"/>
    <s v="Cash"/>
    <x v="2"/>
    <s v="Recovered"/>
    <n v="4"/>
  </r>
  <r>
    <s v="P0449"/>
    <n v="80"/>
    <s v="Male"/>
    <s v="Infection"/>
    <s v="Oncology"/>
    <s v="Dr. Meena"/>
    <d v="2024-04-26T00:00:00"/>
    <d v="2024-05-16T00:00:00"/>
    <n v="227569"/>
    <s v="Corporate"/>
    <s v="UPI"/>
    <x v="2"/>
    <s v="Recovered"/>
    <n v="2"/>
  </r>
  <r>
    <s v="P0450"/>
    <n v="41"/>
    <s v="Female"/>
    <s v="Infection"/>
    <s v="Orthopedics"/>
    <s v="Dr. Kumar"/>
    <d v="2025-06-27T00:00:00"/>
    <d v="2025-07-14T00:00:00"/>
    <n v="132434"/>
    <s v="Private"/>
    <s v="Card"/>
    <x v="3"/>
    <s v="Recovered"/>
    <n v="3"/>
  </r>
  <r>
    <s v="P0451"/>
    <n v="53"/>
    <s v="Male"/>
    <s v="Cardiac"/>
    <s v="Cardiology"/>
    <s v="Dr. Raj"/>
    <d v="2025-09-02T00:00:00"/>
    <d v="2025-09-06T00:00:00"/>
    <n v="185955"/>
    <s v="Private"/>
    <s v="UPI"/>
    <x v="3"/>
    <s v="Recovered"/>
    <n v="5"/>
  </r>
  <r>
    <s v="P0452"/>
    <n v="47"/>
    <s v="Female"/>
    <s v="Infection"/>
    <s v="Oncology"/>
    <s v="Dr. Raj"/>
    <d v="2025-01-16T00:00:00"/>
    <d v="2025-01-21T00:00:00"/>
    <n v="113771"/>
    <s v="Private"/>
    <s v="Insurance Claim"/>
    <x v="0"/>
    <s v="Under Treatment"/>
    <n v="3"/>
  </r>
  <r>
    <s v="P0453"/>
    <n v="72"/>
    <s v="Male"/>
    <s v="Infection"/>
    <s v="General Medicine"/>
    <s v="Dr. Raj"/>
    <d v="2024-11-12T00:00:00"/>
    <d v="2024-11-25T00:00:00"/>
    <n v="234906"/>
    <s v="Government"/>
    <s v="Cash"/>
    <x v="3"/>
    <s v="Under Treatment"/>
    <n v="2"/>
  </r>
  <r>
    <s v="P0454"/>
    <n v="65"/>
    <s v="Female"/>
    <s v="Cardiac"/>
    <s v="Neurology"/>
    <s v="Dr. Raj"/>
    <d v="2025-12-29T00:00:00"/>
    <d v="2026-01-02T00:00:00"/>
    <n v="116988"/>
    <s v="Private"/>
    <s v="Card"/>
    <x v="3"/>
    <s v="Recovered"/>
    <n v="1"/>
  </r>
  <r>
    <s v="P0455"/>
    <n v="45"/>
    <s v="Male"/>
    <s v="Respiratory"/>
    <s v="Cardiology"/>
    <s v="Dr. Priya"/>
    <d v="2024-05-19T00:00:00"/>
    <d v="2024-05-31T00:00:00"/>
    <n v="233944"/>
    <s v="Corporate"/>
    <s v="Cash"/>
    <x v="1"/>
    <s v="Follow-up"/>
    <n v="2"/>
  </r>
  <r>
    <s v="P0456"/>
    <n v="32"/>
    <s v="Male"/>
    <s v="Diabetes"/>
    <s v="Pulmonology"/>
    <s v="Dr. Priya"/>
    <d v="2024-10-29T00:00:00"/>
    <d v="2024-11-11T00:00:00"/>
    <n v="225161"/>
    <s v="Private"/>
    <s v="Card"/>
    <x v="1"/>
    <s v="Recovered"/>
    <n v="3"/>
  </r>
  <r>
    <s v="P0457"/>
    <n v="27"/>
    <s v="Male"/>
    <s v="Cardiac"/>
    <s v="Pulmonology"/>
    <s v="Dr. Meena"/>
    <d v="2024-02-12T00:00:00"/>
    <d v="2024-02-24T00:00:00"/>
    <n v="15053"/>
    <s v="None"/>
    <s v="Cash"/>
    <x v="2"/>
    <s v="Follow-up"/>
    <n v="4"/>
  </r>
  <r>
    <s v="P0458"/>
    <n v="43"/>
    <s v="Female"/>
    <s v="Orthopedic"/>
    <s v="Orthopedics"/>
    <s v="Dr. Meena"/>
    <d v="2025-10-07T00:00:00"/>
    <d v="2025-10-26T00:00:00"/>
    <n v="46203"/>
    <s v="Private"/>
    <s v="Insurance Claim"/>
    <x v="4"/>
    <s v="Follow-up"/>
    <n v="2"/>
  </r>
  <r>
    <s v="P0459"/>
    <n v="27"/>
    <s v="Female"/>
    <s v="Respiratory"/>
    <s v="Pulmonology"/>
    <s v="Dr. Arun"/>
    <d v="2024-07-30T00:00:00"/>
    <d v="2024-08-08T00:00:00"/>
    <n v="5513"/>
    <s v="None"/>
    <s v="UPI"/>
    <x v="4"/>
    <s v="Follow-up"/>
    <n v="3"/>
  </r>
  <r>
    <s v="P0460"/>
    <n v="74"/>
    <s v="Male"/>
    <s v="Diabetes"/>
    <s v="Orthopedics"/>
    <s v="Dr. Raj"/>
    <d v="2025-10-03T00:00:00"/>
    <d v="2025-10-05T00:00:00"/>
    <n v="234359"/>
    <s v="Private"/>
    <s v="Insurance Claim"/>
    <x v="1"/>
    <s v="Under Treatment"/>
    <n v="5"/>
  </r>
  <r>
    <s v="P0461"/>
    <n v="65"/>
    <s v="Male"/>
    <s v="Cancer"/>
    <s v="Orthopedics"/>
    <s v="Dr. Kumar"/>
    <d v="2025-11-14T00:00:00"/>
    <d v="2025-11-15T00:00:00"/>
    <n v="226778"/>
    <s v="Corporate"/>
    <s v="Card"/>
    <x v="4"/>
    <s v="Recovered"/>
    <n v="2"/>
  </r>
  <r>
    <s v="P0462"/>
    <n v="65"/>
    <s v="Male"/>
    <s v="Infection"/>
    <s v="Neurology"/>
    <s v="Dr. Arun"/>
    <d v="2025-12-22T00:00:00"/>
    <d v="2026-01-06T00:00:00"/>
    <n v="44314"/>
    <s v="Private"/>
    <s v="Insurance Claim"/>
    <x v="0"/>
    <s v="Recovered"/>
    <n v="2"/>
  </r>
  <r>
    <s v="P0463"/>
    <n v="73"/>
    <s v="Male"/>
    <s v="Infection"/>
    <s v="Cardiology"/>
    <s v="Dr. Meena"/>
    <d v="2024-08-17T00:00:00"/>
    <d v="2024-08-28T00:00:00"/>
    <n v="175564"/>
    <s v="Government"/>
    <s v="UPI"/>
    <x v="3"/>
    <s v="Under Treatment"/>
    <n v="1"/>
  </r>
  <r>
    <s v="P0464"/>
    <n v="73"/>
    <s v="Female"/>
    <s v="Diabetes"/>
    <s v="Neurology"/>
    <s v="Dr. Raj"/>
    <d v="2024-09-22T00:00:00"/>
    <d v="2024-09-27T00:00:00"/>
    <n v="120884"/>
    <s v="Corporate"/>
    <s v="Insurance Claim"/>
    <x v="2"/>
    <s v="Follow-up"/>
    <n v="1"/>
  </r>
  <r>
    <s v="P0465"/>
    <n v="21"/>
    <s v="Female"/>
    <s v="Respiratory"/>
    <s v="Pulmonology"/>
    <s v="Dr. Priya"/>
    <d v="2025-04-12T00:00:00"/>
    <d v="2025-04-15T00:00:00"/>
    <n v="78396"/>
    <s v="Government"/>
    <s v="Cash"/>
    <x v="2"/>
    <s v="Follow-up"/>
    <n v="2"/>
  </r>
  <r>
    <s v="P0466"/>
    <n v="72"/>
    <s v="Female"/>
    <s v="Cancer"/>
    <s v="Cardiology"/>
    <s v="Dr. Raj"/>
    <d v="2025-06-07T00:00:00"/>
    <d v="2025-06-27T00:00:00"/>
    <n v="231580"/>
    <s v="Private"/>
    <s v="Card"/>
    <x v="1"/>
    <s v="Follow-up"/>
    <n v="2"/>
  </r>
  <r>
    <s v="P0467"/>
    <n v="45"/>
    <s v="Female"/>
    <s v="Neurological"/>
    <s v="Pulmonology"/>
    <s v="Dr. Arun"/>
    <d v="2024-03-15T00:00:00"/>
    <d v="2024-04-03T00:00:00"/>
    <n v="171014"/>
    <s v="Government"/>
    <s v="Cash"/>
    <x v="4"/>
    <s v="Under Treatment"/>
    <n v="5"/>
  </r>
  <r>
    <s v="P0468"/>
    <n v="76"/>
    <s v="Male"/>
    <s v="Neurological"/>
    <s v="Pulmonology"/>
    <s v="Dr. Kumar"/>
    <d v="2024-01-07T00:00:00"/>
    <d v="2024-01-16T00:00:00"/>
    <n v="182611"/>
    <s v="Private"/>
    <s v="Cash"/>
    <x v="2"/>
    <s v="Recovered"/>
    <n v="4"/>
  </r>
  <r>
    <s v="P0469"/>
    <n v="38"/>
    <s v="Female"/>
    <s v="Orthopedic"/>
    <s v="General Medicine"/>
    <s v="Dr. Priya"/>
    <d v="2024-09-08T00:00:00"/>
    <d v="2024-09-17T00:00:00"/>
    <n v="98362"/>
    <s v="Corporate"/>
    <s v="Card"/>
    <x v="2"/>
    <s v="Follow-up"/>
    <n v="5"/>
  </r>
  <r>
    <s v="P0470"/>
    <n v="58"/>
    <s v="Female"/>
    <s v="Neurological"/>
    <s v="Neurology"/>
    <s v="Dr. Priya"/>
    <d v="2025-09-18T00:00:00"/>
    <d v="2025-10-01T00:00:00"/>
    <n v="225153"/>
    <s v="Private"/>
    <s v="Insurance Claim"/>
    <x v="1"/>
    <s v="Follow-up"/>
    <n v="5"/>
  </r>
  <r>
    <s v="P0471"/>
    <n v="81"/>
    <s v="Female"/>
    <s v="Infection"/>
    <s v="Neurology"/>
    <s v="Dr. Raj"/>
    <d v="2025-08-24T00:00:00"/>
    <d v="2025-09-03T00:00:00"/>
    <n v="122155"/>
    <s v="Corporate"/>
    <s v="Cash"/>
    <x v="3"/>
    <s v="Recovered"/>
    <n v="4"/>
  </r>
  <r>
    <s v="P0472"/>
    <n v="51"/>
    <s v="Male"/>
    <s v="Orthopedic"/>
    <s v="General Medicine"/>
    <s v="Dr. Kumar"/>
    <d v="2025-07-02T00:00:00"/>
    <d v="2025-07-15T00:00:00"/>
    <n v="177679"/>
    <s v="None"/>
    <s v="Cash"/>
    <x v="3"/>
    <s v="Follow-up"/>
    <n v="1"/>
  </r>
  <r>
    <s v="P0473"/>
    <n v="70"/>
    <s v="Male"/>
    <s v="Neurological"/>
    <s v="Cardiology"/>
    <s v="Dr. Raj"/>
    <d v="2025-11-17T00:00:00"/>
    <d v="2025-12-04T00:00:00"/>
    <n v="55639"/>
    <s v="Corporate"/>
    <s v="Cash"/>
    <x v="4"/>
    <s v="Under Treatment"/>
    <n v="4"/>
  </r>
  <r>
    <s v="P0474"/>
    <n v="52"/>
    <s v="Male"/>
    <s v="Respiratory"/>
    <s v="Cardiology"/>
    <s v="Dr. Kumar"/>
    <d v="2024-10-23T00:00:00"/>
    <d v="2024-11-12T00:00:00"/>
    <n v="117079"/>
    <s v="None"/>
    <s v="Insurance Claim"/>
    <x v="3"/>
    <s v="Recovered"/>
    <n v="5"/>
  </r>
  <r>
    <s v="P0475"/>
    <n v="31"/>
    <s v="Male"/>
    <s v="Infection"/>
    <s v="Cardiology"/>
    <s v="Dr. Kumar"/>
    <d v="2025-07-21T00:00:00"/>
    <d v="2025-08-04T00:00:00"/>
    <n v="153519"/>
    <s v="Private"/>
    <s v="Cash"/>
    <x v="1"/>
    <s v="Recovered"/>
    <n v="4"/>
  </r>
  <r>
    <s v="P0476"/>
    <n v="61"/>
    <s v="Male"/>
    <s v="Respiratory"/>
    <s v="General Medicine"/>
    <s v="Dr. Kumar"/>
    <d v="2024-06-22T00:00:00"/>
    <d v="2024-07-08T00:00:00"/>
    <n v="230335"/>
    <s v="Government"/>
    <s v="UPI"/>
    <x v="4"/>
    <s v="Recovered"/>
    <n v="1"/>
  </r>
  <r>
    <s v="P0477"/>
    <n v="68"/>
    <s v="Male"/>
    <s v="Diabetes"/>
    <s v="Pulmonology"/>
    <s v="Dr. Raj"/>
    <d v="2024-07-13T00:00:00"/>
    <d v="2024-08-01T00:00:00"/>
    <n v="189253"/>
    <s v="Private"/>
    <s v="Card"/>
    <x v="0"/>
    <s v="Follow-up"/>
    <n v="3"/>
  </r>
  <r>
    <s v="P0478"/>
    <n v="35"/>
    <s v="Female"/>
    <s v="Neurological"/>
    <s v="Cardiology"/>
    <s v="Dr. Kumar"/>
    <d v="2025-03-07T00:00:00"/>
    <d v="2025-03-08T00:00:00"/>
    <n v="46531"/>
    <s v="Government"/>
    <s v="Insurance Claim"/>
    <x v="2"/>
    <s v="Follow-up"/>
    <n v="3"/>
  </r>
  <r>
    <s v="P0479"/>
    <n v="24"/>
    <s v="Female"/>
    <s v="Diabetes"/>
    <s v="Orthopedics"/>
    <s v="Dr. Arun"/>
    <d v="2024-12-07T00:00:00"/>
    <d v="2024-12-25T00:00:00"/>
    <n v="46571"/>
    <s v="Private"/>
    <s v="UPI"/>
    <x v="3"/>
    <s v="Follow-up"/>
    <n v="2"/>
  </r>
  <r>
    <s v="P0480"/>
    <n v="18"/>
    <s v="Female"/>
    <s v="Neurological"/>
    <s v="Oncology"/>
    <s v="Dr. Arun"/>
    <d v="2025-08-18T00:00:00"/>
    <d v="2025-08-31T00:00:00"/>
    <n v="107518"/>
    <s v="Corporate"/>
    <s v="Cash"/>
    <x v="4"/>
    <s v="Follow-up"/>
    <n v="5"/>
  </r>
  <r>
    <s v="P0481"/>
    <n v="83"/>
    <s v="Female"/>
    <s v="Cancer"/>
    <s v="Neurology"/>
    <s v="Dr. Meena"/>
    <d v="2024-01-31T00:00:00"/>
    <d v="2024-02-07T00:00:00"/>
    <n v="113360"/>
    <s v="Corporate"/>
    <s v="Card"/>
    <x v="0"/>
    <s v="Follow-up"/>
    <n v="1"/>
  </r>
  <r>
    <s v="P0482"/>
    <n v="43"/>
    <s v="Male"/>
    <s v="Diabetes"/>
    <s v="Cardiology"/>
    <s v="Dr. Arun"/>
    <d v="2025-01-29T00:00:00"/>
    <d v="2025-02-15T00:00:00"/>
    <n v="206934"/>
    <s v="Government"/>
    <s v="Card"/>
    <x v="0"/>
    <s v="Under Treatment"/>
    <n v="1"/>
  </r>
  <r>
    <s v="P0483"/>
    <n v="24"/>
    <s v="Male"/>
    <s v="Orthopedic"/>
    <s v="Cardiology"/>
    <s v="Dr. Raj"/>
    <d v="2024-12-13T00:00:00"/>
    <d v="2024-12-14T00:00:00"/>
    <n v="155736"/>
    <s v="Private"/>
    <s v="Cash"/>
    <x v="3"/>
    <s v="Follow-up"/>
    <n v="5"/>
  </r>
  <r>
    <s v="P0484"/>
    <n v="41"/>
    <s v="Female"/>
    <s v="Diabetes"/>
    <s v="Oncology"/>
    <s v="Dr. Kumar"/>
    <d v="2025-03-20T00:00:00"/>
    <d v="2025-03-26T00:00:00"/>
    <n v="193668"/>
    <s v="None"/>
    <s v="Card"/>
    <x v="0"/>
    <s v="Recovered"/>
    <n v="3"/>
  </r>
  <r>
    <s v="P0485"/>
    <n v="29"/>
    <s v="Male"/>
    <s v="Cardiac"/>
    <s v="General Medicine"/>
    <s v="Dr. Raj"/>
    <d v="2025-01-07T00:00:00"/>
    <d v="2025-01-15T00:00:00"/>
    <n v="23543"/>
    <s v="Corporate"/>
    <s v="Cash"/>
    <x v="0"/>
    <s v="Under Treatment"/>
    <n v="2"/>
  </r>
  <r>
    <s v="P0486"/>
    <n v="47"/>
    <s v="Female"/>
    <s v="Infection"/>
    <s v="Neurology"/>
    <s v="Dr. Kumar"/>
    <d v="2025-04-21T00:00:00"/>
    <d v="2025-05-10T00:00:00"/>
    <n v="71817"/>
    <s v="None"/>
    <s v="Card"/>
    <x v="3"/>
    <s v="Under Treatment"/>
    <n v="5"/>
  </r>
  <r>
    <s v="P0487"/>
    <n v="29"/>
    <s v="Male"/>
    <s v="Respiratory"/>
    <s v="Cardiology"/>
    <s v="Dr. Meena"/>
    <d v="2024-10-29T00:00:00"/>
    <d v="2024-11-10T00:00:00"/>
    <n v="60352"/>
    <s v="Private"/>
    <s v="Cash"/>
    <x v="0"/>
    <s v="Under Treatment"/>
    <n v="1"/>
  </r>
  <r>
    <s v="P0488"/>
    <n v="51"/>
    <s v="Female"/>
    <s v="Cancer"/>
    <s v="Pulmonology"/>
    <s v="Dr. Kumar"/>
    <d v="2025-09-19T00:00:00"/>
    <d v="2025-09-27T00:00:00"/>
    <n v="96716"/>
    <s v="Private"/>
    <s v="Cash"/>
    <x v="1"/>
    <s v="Under Treatment"/>
    <n v="5"/>
  </r>
  <r>
    <s v="P0489"/>
    <n v="54"/>
    <s v="Male"/>
    <s v="Neurological"/>
    <s v="Cardiology"/>
    <s v="Dr. Arun"/>
    <d v="2024-04-29T00:00:00"/>
    <d v="2024-05-14T00:00:00"/>
    <n v="178005"/>
    <s v="None"/>
    <s v="Insurance Claim"/>
    <x v="4"/>
    <s v="Under Treatment"/>
    <n v="5"/>
  </r>
  <r>
    <s v="P0490"/>
    <n v="47"/>
    <s v="Female"/>
    <s v="Orthopedic"/>
    <s v="General Medicine"/>
    <s v="Dr. Priya"/>
    <d v="2025-06-11T00:00:00"/>
    <d v="2025-06-26T00:00:00"/>
    <n v="208248"/>
    <s v="Government"/>
    <s v="Insurance Claim"/>
    <x v="2"/>
    <s v="Under Treatment"/>
    <n v="4"/>
  </r>
  <r>
    <s v="P0491"/>
    <n v="60"/>
    <s v="Male"/>
    <s v="Neurological"/>
    <s v="Neurology"/>
    <s v="Dr. Kumar"/>
    <d v="2024-07-12T00:00:00"/>
    <d v="2024-07-21T00:00:00"/>
    <n v="235237"/>
    <s v="Corporate"/>
    <s v="Insurance Claim"/>
    <x v="3"/>
    <s v="Recovered"/>
    <n v="2"/>
  </r>
  <r>
    <s v="P0492"/>
    <n v="54"/>
    <s v="Male"/>
    <s v="Neurological"/>
    <s v="Oncology"/>
    <s v="Dr. Kumar"/>
    <d v="2025-03-28T00:00:00"/>
    <d v="2025-04-12T00:00:00"/>
    <n v="133053"/>
    <s v="Private"/>
    <s v="Card"/>
    <x v="1"/>
    <s v="Under Treatment"/>
    <n v="1"/>
  </r>
  <r>
    <s v="P0493"/>
    <n v="64"/>
    <s v="Male"/>
    <s v="Cancer"/>
    <s v="Oncology"/>
    <s v="Dr. Arun"/>
    <d v="2024-05-30T00:00:00"/>
    <d v="2024-06-04T00:00:00"/>
    <n v="172055"/>
    <s v="None"/>
    <s v="UPI"/>
    <x v="0"/>
    <s v="Under Treatment"/>
    <n v="5"/>
  </r>
  <r>
    <s v="P0494"/>
    <n v="30"/>
    <s v="Female"/>
    <s v="Respiratory"/>
    <s v="Orthopedics"/>
    <s v="Dr. Kumar"/>
    <d v="2024-04-30T00:00:00"/>
    <d v="2024-05-01T00:00:00"/>
    <n v="51476"/>
    <s v="Corporate"/>
    <s v="Insurance Claim"/>
    <x v="4"/>
    <s v="Recovered"/>
    <n v="4"/>
  </r>
  <r>
    <s v="P0495"/>
    <n v="42"/>
    <s v="Male"/>
    <s v="Neurological"/>
    <s v="Cardiology"/>
    <s v="Dr. Meena"/>
    <d v="2025-10-25T00:00:00"/>
    <d v="2025-10-26T00:00:00"/>
    <n v="218837"/>
    <s v="Private"/>
    <s v="Card"/>
    <x v="4"/>
    <s v="Recovered"/>
    <n v="2"/>
  </r>
  <r>
    <s v="P0496"/>
    <n v="54"/>
    <s v="Female"/>
    <s v="Neurological"/>
    <s v="Neurology"/>
    <s v="Dr. Raj"/>
    <d v="2025-10-30T00:00:00"/>
    <d v="2025-11-03T00:00:00"/>
    <n v="8923"/>
    <s v="Government"/>
    <s v="UPI"/>
    <x v="1"/>
    <s v="Follow-up"/>
    <n v="2"/>
  </r>
  <r>
    <s v="P0497"/>
    <n v="68"/>
    <s v="Male"/>
    <s v="Neurological"/>
    <s v="Neurology"/>
    <s v="Dr. Raj"/>
    <d v="2025-03-17T00:00:00"/>
    <d v="2025-04-05T00:00:00"/>
    <n v="70809"/>
    <s v="Government"/>
    <s v="Card"/>
    <x v="4"/>
    <s v="Recovered"/>
    <n v="1"/>
  </r>
  <r>
    <s v="P0498"/>
    <n v="76"/>
    <s v="Male"/>
    <s v="Respiratory"/>
    <s v="General Medicine"/>
    <s v="Dr. Meena"/>
    <d v="2025-03-25T00:00:00"/>
    <d v="2025-03-26T00:00:00"/>
    <n v="150158"/>
    <s v="Corporate"/>
    <s v="Cash"/>
    <x v="0"/>
    <s v="Under Treatment"/>
    <n v="1"/>
  </r>
  <r>
    <s v="P0499"/>
    <n v="53"/>
    <s v="Female"/>
    <s v="Infection"/>
    <s v="Cardiology"/>
    <s v="Dr. Priya"/>
    <d v="2024-06-24T00:00:00"/>
    <d v="2024-06-26T00:00:00"/>
    <n v="97965"/>
    <s v="Government"/>
    <s v="Card"/>
    <x v="4"/>
    <s v="Follow-up"/>
    <n v="4"/>
  </r>
  <r>
    <s v="P0500"/>
    <n v="27"/>
    <s v="Female"/>
    <s v="Infection"/>
    <s v="Orthopedics"/>
    <s v="Dr. Priya"/>
    <d v="2025-02-11T00:00:00"/>
    <d v="2025-02-24T00:00:00"/>
    <n v="104026"/>
    <s v="Private"/>
    <s v="Card"/>
    <x v="1"/>
    <s v="Under Treatment"/>
    <n v="3"/>
  </r>
  <r>
    <s v="P0501"/>
    <n v="18"/>
    <s v="Male"/>
    <s v="Neurological"/>
    <s v="General Medicine"/>
    <s v="Dr. Priya"/>
    <d v="2024-05-25T00:00:00"/>
    <d v="2024-06-10T00:00:00"/>
    <n v="193991"/>
    <s v="Private"/>
    <s v="UPI"/>
    <x v="1"/>
    <s v="Under Treatment"/>
    <n v="4"/>
  </r>
  <r>
    <s v="P0502"/>
    <n v="71"/>
    <s v="Male"/>
    <s v="Cardiac"/>
    <s v="Cardiology"/>
    <s v="Dr. Kumar"/>
    <d v="2024-06-25T00:00:00"/>
    <d v="2024-06-28T00:00:00"/>
    <n v="235369"/>
    <s v="Private"/>
    <s v="UPI"/>
    <x v="1"/>
    <s v="Follow-up"/>
    <n v="1"/>
  </r>
  <r>
    <s v="P0503"/>
    <n v="59"/>
    <s v="Female"/>
    <s v="Respiratory"/>
    <s v="Neurology"/>
    <s v="Dr. Arun"/>
    <d v="2024-03-19T00:00:00"/>
    <d v="2024-04-05T00:00:00"/>
    <n v="44384"/>
    <s v="Private"/>
    <s v="Cash"/>
    <x v="0"/>
    <s v="Recovered"/>
    <n v="4"/>
  </r>
  <r>
    <s v="P0504"/>
    <n v="45"/>
    <s v="Female"/>
    <s v="Cancer"/>
    <s v="General Medicine"/>
    <s v="Dr. Kumar"/>
    <d v="2025-07-14T00:00:00"/>
    <d v="2025-07-17T00:00:00"/>
    <n v="207108"/>
    <s v="None"/>
    <s v="Cash"/>
    <x v="3"/>
    <s v="Recovered"/>
    <n v="4"/>
  </r>
  <r>
    <s v="P0505"/>
    <n v="46"/>
    <s v="Female"/>
    <s v="Cardiac"/>
    <s v="Orthopedics"/>
    <s v="Dr. Priya"/>
    <d v="2025-07-16T00:00:00"/>
    <d v="2025-07-27T00:00:00"/>
    <n v="49377"/>
    <s v="Government"/>
    <s v="Insurance Claim"/>
    <x v="1"/>
    <s v="Under Treatment"/>
    <n v="4"/>
  </r>
  <r>
    <s v="P0506"/>
    <n v="68"/>
    <s v="Female"/>
    <s v="Diabetes"/>
    <s v="Orthopedics"/>
    <s v="Dr. Meena"/>
    <d v="2025-09-01T00:00:00"/>
    <d v="2025-09-14T00:00:00"/>
    <n v="28441"/>
    <s v="Corporate"/>
    <s v="Insurance Claim"/>
    <x v="0"/>
    <s v="Recovered"/>
    <n v="1"/>
  </r>
  <r>
    <s v="P0507"/>
    <n v="76"/>
    <s v="Female"/>
    <s v="Orthopedic"/>
    <s v="General Medicine"/>
    <s v="Dr. Raj"/>
    <d v="2024-04-16T00:00:00"/>
    <d v="2024-04-25T00:00:00"/>
    <n v="34661"/>
    <s v="Government"/>
    <s v="Card"/>
    <x v="0"/>
    <s v="Under Treatment"/>
    <n v="1"/>
  </r>
  <r>
    <s v="P0508"/>
    <n v="20"/>
    <s v="Female"/>
    <s v="Respiratory"/>
    <s v="Cardiology"/>
    <s v="Dr. Raj"/>
    <d v="2024-08-30T00:00:00"/>
    <d v="2024-09-16T00:00:00"/>
    <n v="105641"/>
    <s v="Corporate"/>
    <s v="UPI"/>
    <x v="4"/>
    <s v="Follow-up"/>
    <n v="5"/>
  </r>
  <r>
    <s v="P0509"/>
    <n v="48"/>
    <s v="Female"/>
    <s v="Diabetes"/>
    <s v="Oncology"/>
    <s v="Dr. Meena"/>
    <d v="2024-11-30T00:00:00"/>
    <d v="2024-12-13T00:00:00"/>
    <n v="35863"/>
    <s v="Government"/>
    <s v="Insurance Claim"/>
    <x v="1"/>
    <s v="Follow-up"/>
    <n v="3"/>
  </r>
  <r>
    <s v="P0510"/>
    <n v="18"/>
    <s v="Male"/>
    <s v="Respiratory"/>
    <s v="Pulmonology"/>
    <s v="Dr. Meena"/>
    <d v="2024-05-21T00:00:00"/>
    <d v="2024-05-26T00:00:00"/>
    <n v="190215"/>
    <s v="Government"/>
    <s v="UPI"/>
    <x v="0"/>
    <s v="Follow-up"/>
    <n v="3"/>
  </r>
  <r>
    <s v="P0511"/>
    <n v="30"/>
    <s v="Female"/>
    <s v="Infection"/>
    <s v="Cardiology"/>
    <s v="Dr. Raj"/>
    <d v="2024-10-24T00:00:00"/>
    <d v="2024-11-10T00:00:00"/>
    <n v="188163"/>
    <s v="Government"/>
    <s v="UPI"/>
    <x v="1"/>
    <s v="Under Treatment"/>
    <n v="1"/>
  </r>
  <r>
    <s v="P0512"/>
    <n v="53"/>
    <s v="Female"/>
    <s v="Infection"/>
    <s v="Pulmonology"/>
    <s v="Dr. Priya"/>
    <d v="2024-03-31T00:00:00"/>
    <d v="2024-04-02T00:00:00"/>
    <n v="98896"/>
    <s v="Private"/>
    <s v="Cash"/>
    <x v="0"/>
    <s v="Follow-up"/>
    <n v="2"/>
  </r>
  <r>
    <s v="P0513"/>
    <n v="74"/>
    <s v="Female"/>
    <s v="Infection"/>
    <s v="Orthopedics"/>
    <s v="Dr. Arun"/>
    <d v="2024-03-18T00:00:00"/>
    <d v="2024-03-30T00:00:00"/>
    <n v="97955"/>
    <s v="None"/>
    <s v="Cash"/>
    <x v="2"/>
    <s v="Recovered"/>
    <n v="4"/>
  </r>
  <r>
    <s v="P0514"/>
    <n v="60"/>
    <s v="Female"/>
    <s v="Respiratory"/>
    <s v="Pulmonology"/>
    <s v="Dr. Arun"/>
    <d v="2024-08-26T00:00:00"/>
    <d v="2024-09-04T00:00:00"/>
    <n v="100176"/>
    <s v="Corporate"/>
    <s v="Card"/>
    <x v="1"/>
    <s v="Follow-up"/>
    <n v="1"/>
  </r>
  <r>
    <s v="P0515"/>
    <n v="70"/>
    <s v="Male"/>
    <s v="Neurological"/>
    <s v="Orthopedics"/>
    <s v="Dr. Arun"/>
    <d v="2024-09-15T00:00:00"/>
    <d v="2024-10-03T00:00:00"/>
    <n v="153832"/>
    <s v="Corporate"/>
    <s v="UPI"/>
    <x v="3"/>
    <s v="Follow-up"/>
    <n v="3"/>
  </r>
  <r>
    <s v="P0516"/>
    <n v="69"/>
    <s v="Male"/>
    <s v="Neurological"/>
    <s v="Oncology"/>
    <s v="Dr. Priya"/>
    <d v="2025-07-11T00:00:00"/>
    <d v="2025-07-26T00:00:00"/>
    <n v="78588"/>
    <s v="Corporate"/>
    <s v="Insurance Claim"/>
    <x v="3"/>
    <s v="Follow-up"/>
    <n v="4"/>
  </r>
  <r>
    <s v="P0517"/>
    <n v="31"/>
    <s v="Male"/>
    <s v="Diabetes"/>
    <s v="Orthopedics"/>
    <s v="Dr. Raj"/>
    <d v="2024-10-10T00:00:00"/>
    <d v="2024-10-19T00:00:00"/>
    <n v="52925"/>
    <s v="Private"/>
    <s v="Cash"/>
    <x v="3"/>
    <s v="Follow-up"/>
    <n v="5"/>
  </r>
  <r>
    <s v="P0518"/>
    <n v="35"/>
    <s v="Male"/>
    <s v="Infection"/>
    <s v="Pulmonology"/>
    <s v="Dr. Kumar"/>
    <d v="2024-04-10T00:00:00"/>
    <d v="2024-04-17T00:00:00"/>
    <n v="174402"/>
    <s v="Government"/>
    <s v="Card"/>
    <x v="1"/>
    <s v="Follow-up"/>
    <n v="5"/>
  </r>
  <r>
    <s v="P0519"/>
    <n v="49"/>
    <s v="Male"/>
    <s v="Orthopedic"/>
    <s v="Orthopedics"/>
    <s v="Dr. Raj"/>
    <d v="2025-04-21T00:00:00"/>
    <d v="2025-05-03T00:00:00"/>
    <n v="8741"/>
    <s v="None"/>
    <s v="Insurance Claim"/>
    <x v="1"/>
    <s v="Follow-up"/>
    <n v="1"/>
  </r>
  <r>
    <s v="P0520"/>
    <n v="73"/>
    <s v="Female"/>
    <s v="Orthopedic"/>
    <s v="Orthopedics"/>
    <s v="Dr. Raj"/>
    <d v="2024-11-02T00:00:00"/>
    <d v="2024-11-14T00:00:00"/>
    <n v="134538"/>
    <s v="None"/>
    <s v="Cash"/>
    <x v="2"/>
    <s v="Under Treatment"/>
    <n v="4"/>
  </r>
  <r>
    <s v="P0521"/>
    <n v="66"/>
    <s v="Male"/>
    <s v="Diabetes"/>
    <s v="General Medicine"/>
    <s v="Dr. Priya"/>
    <d v="2025-10-07T00:00:00"/>
    <d v="2025-10-12T00:00:00"/>
    <n v="33960"/>
    <s v="Private"/>
    <s v="Insurance Claim"/>
    <x v="1"/>
    <s v="Follow-up"/>
    <n v="1"/>
  </r>
  <r>
    <s v="P0522"/>
    <n v="68"/>
    <s v="Female"/>
    <s v="Diabetes"/>
    <s v="Neurology"/>
    <s v="Dr. Meena"/>
    <d v="2025-06-22T00:00:00"/>
    <d v="2025-07-07T00:00:00"/>
    <n v="110980"/>
    <s v="Corporate"/>
    <s v="Cash"/>
    <x v="3"/>
    <s v="Recovered"/>
    <n v="4"/>
  </r>
  <r>
    <s v="P0523"/>
    <n v="33"/>
    <s v="Female"/>
    <s v="Diabetes"/>
    <s v="Neurology"/>
    <s v="Dr. Raj"/>
    <d v="2025-08-12T00:00:00"/>
    <d v="2025-08-22T00:00:00"/>
    <n v="223496"/>
    <s v="Private"/>
    <s v="Card"/>
    <x v="2"/>
    <s v="Follow-up"/>
    <n v="5"/>
  </r>
  <r>
    <s v="P0524"/>
    <n v="31"/>
    <s v="Female"/>
    <s v="Cancer"/>
    <s v="Orthopedics"/>
    <s v="Dr. Arun"/>
    <d v="2024-12-31T00:00:00"/>
    <d v="2025-01-08T00:00:00"/>
    <n v="227828"/>
    <s v="Corporate"/>
    <s v="Insurance Claim"/>
    <x v="3"/>
    <s v="Follow-up"/>
    <n v="2"/>
  </r>
  <r>
    <s v="P0525"/>
    <n v="56"/>
    <s v="Male"/>
    <s v="Infection"/>
    <s v="Cardiology"/>
    <s v="Dr. Meena"/>
    <d v="2024-09-05T00:00:00"/>
    <d v="2024-09-06T00:00:00"/>
    <n v="30917"/>
    <s v="Private"/>
    <s v="UPI"/>
    <x v="4"/>
    <s v="Under Treatment"/>
    <n v="5"/>
  </r>
  <r>
    <s v="P0526"/>
    <n v="47"/>
    <s v="Male"/>
    <s v="Respiratory"/>
    <s v="Neurology"/>
    <s v="Dr. Meena"/>
    <d v="2024-02-26T00:00:00"/>
    <d v="2024-03-05T00:00:00"/>
    <n v="209069"/>
    <s v="None"/>
    <s v="Insurance Claim"/>
    <x v="2"/>
    <s v="Follow-up"/>
    <n v="5"/>
  </r>
  <r>
    <s v="P0527"/>
    <n v="29"/>
    <s v="Male"/>
    <s v="Cancer"/>
    <s v="Pulmonology"/>
    <s v="Dr. Arun"/>
    <d v="2025-09-09T00:00:00"/>
    <d v="2025-09-23T00:00:00"/>
    <n v="133823"/>
    <s v="Government"/>
    <s v="Card"/>
    <x v="2"/>
    <s v="Follow-up"/>
    <n v="5"/>
  </r>
  <r>
    <s v="P0528"/>
    <n v="71"/>
    <s v="Female"/>
    <s v="Infection"/>
    <s v="Oncology"/>
    <s v="Dr. Priya"/>
    <d v="2025-03-30T00:00:00"/>
    <d v="2025-04-11T00:00:00"/>
    <n v="19662"/>
    <s v="Corporate"/>
    <s v="Cash"/>
    <x v="3"/>
    <s v="Follow-up"/>
    <n v="3"/>
  </r>
  <r>
    <s v="P0529"/>
    <n v="21"/>
    <s v="Male"/>
    <s v="Neurological"/>
    <s v="Orthopedics"/>
    <s v="Dr. Priya"/>
    <d v="2024-11-06T00:00:00"/>
    <d v="2024-11-25T00:00:00"/>
    <n v="11071"/>
    <s v="Government"/>
    <s v="Insurance Claim"/>
    <x v="1"/>
    <s v="Follow-up"/>
    <n v="3"/>
  </r>
  <r>
    <s v="P0530"/>
    <n v="83"/>
    <s v="Female"/>
    <s v="Diabetes"/>
    <s v="Oncology"/>
    <s v="Dr. Raj"/>
    <d v="2025-05-23T00:00:00"/>
    <d v="2025-06-08T00:00:00"/>
    <n v="142722"/>
    <s v="Government"/>
    <s v="Cash"/>
    <x v="2"/>
    <s v="Follow-up"/>
    <n v="1"/>
  </r>
  <r>
    <s v="P0531"/>
    <n v="35"/>
    <s v="Female"/>
    <s v="Respiratory"/>
    <s v="Neurology"/>
    <s v="Dr. Meena"/>
    <d v="2025-10-05T00:00:00"/>
    <d v="2025-10-20T00:00:00"/>
    <n v="92162"/>
    <s v="None"/>
    <s v="Insurance Claim"/>
    <x v="0"/>
    <s v="Follow-up"/>
    <n v="2"/>
  </r>
  <r>
    <s v="P0532"/>
    <n v="41"/>
    <s v="Female"/>
    <s v="Cardiac"/>
    <s v="Orthopedics"/>
    <s v="Dr. Meena"/>
    <d v="2024-06-21T00:00:00"/>
    <d v="2024-06-22T00:00:00"/>
    <n v="76849"/>
    <s v="Private"/>
    <s v="Insurance Claim"/>
    <x v="2"/>
    <s v="Follow-up"/>
    <n v="3"/>
  </r>
  <r>
    <s v="P0533"/>
    <n v="25"/>
    <s v="Male"/>
    <s v="Cardiac"/>
    <s v="General Medicine"/>
    <s v="Dr. Kumar"/>
    <d v="2024-03-27T00:00:00"/>
    <d v="2024-04-09T00:00:00"/>
    <n v="154171"/>
    <s v="None"/>
    <s v="Insurance Claim"/>
    <x v="0"/>
    <s v="Under Treatment"/>
    <n v="1"/>
  </r>
  <r>
    <s v="P0534"/>
    <n v="49"/>
    <s v="Female"/>
    <s v="Diabetes"/>
    <s v="Cardiology"/>
    <s v="Dr. Priya"/>
    <d v="2025-08-06T00:00:00"/>
    <d v="2025-08-20T00:00:00"/>
    <n v="216025"/>
    <s v="Corporate"/>
    <s v="Cash"/>
    <x v="1"/>
    <s v="Follow-up"/>
    <n v="1"/>
  </r>
  <r>
    <s v="P0535"/>
    <n v="61"/>
    <s v="Male"/>
    <s v="Neurological"/>
    <s v="General Medicine"/>
    <s v="Dr. Arun"/>
    <d v="2025-12-19T00:00:00"/>
    <d v="2026-01-07T00:00:00"/>
    <n v="73647"/>
    <s v="Corporate"/>
    <s v="UPI"/>
    <x v="0"/>
    <s v="Under Treatment"/>
    <n v="3"/>
  </r>
  <r>
    <s v="P0536"/>
    <n v="32"/>
    <s v="Female"/>
    <s v="Neurological"/>
    <s v="Orthopedics"/>
    <s v="Dr. Meena"/>
    <d v="2025-10-16T00:00:00"/>
    <d v="2025-10-21T00:00:00"/>
    <n v="42984"/>
    <s v="None"/>
    <s v="Insurance Claim"/>
    <x v="2"/>
    <s v="Under Treatment"/>
    <n v="1"/>
  </r>
  <r>
    <s v="P0537"/>
    <n v="28"/>
    <s v="Female"/>
    <s v="Orthopedic"/>
    <s v="Oncology"/>
    <s v="Dr. Meena"/>
    <d v="2025-10-06T00:00:00"/>
    <d v="2025-10-26T00:00:00"/>
    <n v="186918"/>
    <s v="Private"/>
    <s v="Cash"/>
    <x v="0"/>
    <s v="Recovered"/>
    <n v="5"/>
  </r>
  <r>
    <s v="P0538"/>
    <n v="28"/>
    <s v="Male"/>
    <s v="Cardiac"/>
    <s v="Orthopedics"/>
    <s v="Dr. Kumar"/>
    <d v="2025-01-05T00:00:00"/>
    <d v="2025-01-12T00:00:00"/>
    <n v="7317"/>
    <s v="None"/>
    <s v="UPI"/>
    <x v="3"/>
    <s v="Under Treatment"/>
    <n v="5"/>
  </r>
  <r>
    <s v="P0539"/>
    <n v="77"/>
    <s v="Male"/>
    <s v="Neurological"/>
    <s v="Cardiology"/>
    <s v="Dr. Priya"/>
    <d v="2025-01-06T00:00:00"/>
    <d v="2025-01-21T00:00:00"/>
    <n v="64134"/>
    <s v="Corporate"/>
    <s v="Cash"/>
    <x v="1"/>
    <s v="Follow-up"/>
    <n v="2"/>
  </r>
  <r>
    <s v="P0540"/>
    <n v="57"/>
    <s v="Male"/>
    <s v="Respiratory"/>
    <s v="Orthopedics"/>
    <s v="Dr. Raj"/>
    <d v="2025-05-07T00:00:00"/>
    <d v="2025-05-17T00:00:00"/>
    <n v="11976"/>
    <s v="Corporate"/>
    <s v="Card"/>
    <x v="1"/>
    <s v="Follow-up"/>
    <n v="4"/>
  </r>
  <r>
    <s v="P0541"/>
    <n v="85"/>
    <s v="Male"/>
    <s v="Respiratory"/>
    <s v="General Medicine"/>
    <s v="Dr. Arun"/>
    <d v="2024-08-15T00:00:00"/>
    <d v="2024-08-18T00:00:00"/>
    <n v="235349"/>
    <s v="Corporate"/>
    <s v="Card"/>
    <x v="2"/>
    <s v="Follow-up"/>
    <n v="2"/>
  </r>
  <r>
    <s v="P0542"/>
    <n v="85"/>
    <s v="Female"/>
    <s v="Diabetes"/>
    <s v="Cardiology"/>
    <s v="Dr. Priya"/>
    <d v="2025-08-14T00:00:00"/>
    <d v="2025-08-18T00:00:00"/>
    <n v="87679"/>
    <s v="None"/>
    <s v="Cash"/>
    <x v="3"/>
    <s v="Follow-up"/>
    <n v="1"/>
  </r>
  <r>
    <s v="P0543"/>
    <n v="71"/>
    <s v="Male"/>
    <s v="Cancer"/>
    <s v="Neurology"/>
    <s v="Dr. Raj"/>
    <d v="2025-04-06T00:00:00"/>
    <d v="2025-04-08T00:00:00"/>
    <n v="14796"/>
    <s v="Corporate"/>
    <s v="Card"/>
    <x v="1"/>
    <s v="Recovered"/>
    <n v="1"/>
  </r>
  <r>
    <s v="P0544"/>
    <n v="42"/>
    <s v="Male"/>
    <s v="Cardiac"/>
    <s v="General Medicine"/>
    <s v="Dr. Arun"/>
    <d v="2025-12-28T00:00:00"/>
    <d v="2026-01-01T00:00:00"/>
    <n v="53709"/>
    <s v="Government"/>
    <s v="Card"/>
    <x v="4"/>
    <s v="Under Treatment"/>
    <n v="1"/>
  </r>
  <r>
    <s v="P0545"/>
    <n v="57"/>
    <s v="Male"/>
    <s v="Infection"/>
    <s v="Orthopedics"/>
    <s v="Dr. Kumar"/>
    <d v="2024-12-21T00:00:00"/>
    <d v="2025-01-07T00:00:00"/>
    <n v="201097"/>
    <s v="None"/>
    <s v="Insurance Claim"/>
    <x v="0"/>
    <s v="Follow-up"/>
    <n v="3"/>
  </r>
  <r>
    <s v="P0546"/>
    <n v="43"/>
    <s v="Female"/>
    <s v="Cancer"/>
    <s v="Orthopedics"/>
    <s v="Dr. Priya"/>
    <d v="2024-05-28T00:00:00"/>
    <d v="2024-06-17T00:00:00"/>
    <n v="232217"/>
    <s v="Government"/>
    <s v="Insurance Claim"/>
    <x v="0"/>
    <s v="Under Treatment"/>
    <n v="4"/>
  </r>
  <r>
    <s v="P0547"/>
    <n v="30"/>
    <s v="Female"/>
    <s v="Cardiac"/>
    <s v="Oncology"/>
    <s v="Dr. Meena"/>
    <d v="2025-02-05T00:00:00"/>
    <d v="2025-02-09T00:00:00"/>
    <n v="197781"/>
    <s v="None"/>
    <s v="Cash"/>
    <x v="3"/>
    <s v="Under Treatment"/>
    <n v="5"/>
  </r>
  <r>
    <s v="P0548"/>
    <n v="31"/>
    <s v="Female"/>
    <s v="Orthopedic"/>
    <s v="Neurology"/>
    <s v="Dr. Meena"/>
    <d v="2024-12-16T00:00:00"/>
    <d v="2025-01-05T00:00:00"/>
    <n v="60583"/>
    <s v="None"/>
    <s v="UPI"/>
    <x v="2"/>
    <s v="Recovered"/>
    <n v="2"/>
  </r>
  <r>
    <s v="P0549"/>
    <n v="79"/>
    <s v="Male"/>
    <s v="Infection"/>
    <s v="Cardiology"/>
    <s v="Dr. Kumar"/>
    <d v="2025-08-29T00:00:00"/>
    <d v="2025-09-06T00:00:00"/>
    <n v="173068"/>
    <s v="Government"/>
    <s v="Insurance Claim"/>
    <x v="1"/>
    <s v="Recovered"/>
    <n v="5"/>
  </r>
  <r>
    <s v="P0550"/>
    <n v="27"/>
    <s v="Female"/>
    <s v="Respiratory"/>
    <s v="Oncology"/>
    <s v="Dr. Arun"/>
    <d v="2025-10-03T00:00:00"/>
    <d v="2025-10-09T00:00:00"/>
    <n v="150411"/>
    <s v="Private"/>
    <s v="Card"/>
    <x v="3"/>
    <s v="Recovered"/>
    <n v="1"/>
  </r>
  <r>
    <s v="P0551"/>
    <n v="71"/>
    <s v="Female"/>
    <s v="Infection"/>
    <s v="Orthopedics"/>
    <s v="Dr. Kumar"/>
    <d v="2025-05-10T00:00:00"/>
    <d v="2025-05-21T00:00:00"/>
    <n v="217234"/>
    <s v="Private"/>
    <s v="Card"/>
    <x v="1"/>
    <s v="Recovered"/>
    <n v="4"/>
  </r>
  <r>
    <s v="P0552"/>
    <n v="63"/>
    <s v="Male"/>
    <s v="Cardiac"/>
    <s v="General Medicine"/>
    <s v="Dr. Meena"/>
    <d v="2024-01-11T00:00:00"/>
    <d v="2024-01-29T00:00:00"/>
    <n v="182430"/>
    <s v="Government"/>
    <s v="Insurance Claim"/>
    <x v="2"/>
    <s v="Follow-up"/>
    <n v="2"/>
  </r>
  <r>
    <s v="P0553"/>
    <n v="51"/>
    <s v="Female"/>
    <s v="Diabetes"/>
    <s v="Orthopedics"/>
    <s v="Dr. Kumar"/>
    <d v="2024-07-21T00:00:00"/>
    <d v="2024-08-05T00:00:00"/>
    <n v="198388"/>
    <s v="Private"/>
    <s v="Cash"/>
    <x v="1"/>
    <s v="Recovered"/>
    <n v="2"/>
  </r>
  <r>
    <s v="P0554"/>
    <n v="73"/>
    <s v="Female"/>
    <s v="Diabetes"/>
    <s v="Oncology"/>
    <s v="Dr. Meena"/>
    <d v="2024-03-16T00:00:00"/>
    <d v="2024-04-01T00:00:00"/>
    <n v="107390"/>
    <s v="Private"/>
    <s v="Insurance Claim"/>
    <x v="0"/>
    <s v="Follow-up"/>
    <n v="4"/>
  </r>
  <r>
    <s v="P0555"/>
    <n v="45"/>
    <s v="Female"/>
    <s v="Neurological"/>
    <s v="Orthopedics"/>
    <s v="Dr. Raj"/>
    <d v="2025-05-16T00:00:00"/>
    <d v="2025-06-02T00:00:00"/>
    <n v="243333"/>
    <s v="Corporate"/>
    <s v="UPI"/>
    <x v="3"/>
    <s v="Follow-up"/>
    <n v="4"/>
  </r>
  <r>
    <s v="P0556"/>
    <n v="65"/>
    <s v="Female"/>
    <s v="Diabetes"/>
    <s v="Pulmonology"/>
    <s v="Dr. Raj"/>
    <d v="2025-06-26T00:00:00"/>
    <d v="2025-07-11T00:00:00"/>
    <n v="177805"/>
    <s v="None"/>
    <s v="Insurance Claim"/>
    <x v="2"/>
    <s v="Follow-up"/>
    <n v="3"/>
  </r>
  <r>
    <s v="P0557"/>
    <n v="30"/>
    <s v="Male"/>
    <s v="Respiratory"/>
    <s v="Oncology"/>
    <s v="Dr. Priya"/>
    <d v="2024-08-17T00:00:00"/>
    <d v="2024-09-03T00:00:00"/>
    <n v="78888"/>
    <s v="None"/>
    <s v="Card"/>
    <x v="3"/>
    <s v="Follow-up"/>
    <n v="4"/>
  </r>
  <r>
    <s v="P0558"/>
    <n v="38"/>
    <s v="Female"/>
    <s v="Neurological"/>
    <s v="Orthopedics"/>
    <s v="Dr. Raj"/>
    <d v="2025-05-05T00:00:00"/>
    <d v="2025-05-22T00:00:00"/>
    <n v="23122"/>
    <s v="Government"/>
    <s v="UPI"/>
    <x v="1"/>
    <s v="Under Treatment"/>
    <n v="4"/>
  </r>
  <r>
    <s v="P0559"/>
    <n v="71"/>
    <s v="Male"/>
    <s v="Respiratory"/>
    <s v="Pulmonology"/>
    <s v="Dr. Priya"/>
    <d v="2025-03-11T00:00:00"/>
    <d v="2025-03-29T00:00:00"/>
    <n v="103836"/>
    <s v="Private"/>
    <s v="Cash"/>
    <x v="4"/>
    <s v="Recovered"/>
    <n v="5"/>
  </r>
  <r>
    <s v="P0560"/>
    <n v="67"/>
    <s v="Male"/>
    <s v="Diabetes"/>
    <s v="Cardiology"/>
    <s v="Dr. Priya"/>
    <d v="2024-09-04T00:00:00"/>
    <d v="2024-09-10T00:00:00"/>
    <n v="147116"/>
    <s v="Government"/>
    <s v="UPI"/>
    <x v="1"/>
    <s v="Recovered"/>
    <n v="3"/>
  </r>
  <r>
    <s v="P0561"/>
    <n v="18"/>
    <s v="Female"/>
    <s v="Respiratory"/>
    <s v="Pulmonology"/>
    <s v="Dr. Meena"/>
    <d v="2025-11-10T00:00:00"/>
    <d v="2025-11-19T00:00:00"/>
    <n v="10422"/>
    <s v="Private"/>
    <s v="UPI"/>
    <x v="1"/>
    <s v="Follow-up"/>
    <n v="1"/>
  </r>
  <r>
    <s v="P0562"/>
    <n v="45"/>
    <s v="Male"/>
    <s v="Infection"/>
    <s v="Oncology"/>
    <s v="Dr. Priya"/>
    <d v="2024-07-21T00:00:00"/>
    <d v="2024-08-10T00:00:00"/>
    <n v="35518"/>
    <s v="None"/>
    <s v="Cash"/>
    <x v="3"/>
    <s v="Recovered"/>
    <n v="1"/>
  </r>
  <r>
    <s v="P0563"/>
    <n v="35"/>
    <s v="Female"/>
    <s v="Orthopedic"/>
    <s v="Neurology"/>
    <s v="Dr. Priya"/>
    <d v="2024-07-06T00:00:00"/>
    <d v="2024-07-18T00:00:00"/>
    <n v="65370"/>
    <s v="None"/>
    <s v="Cash"/>
    <x v="2"/>
    <s v="Under Treatment"/>
    <n v="1"/>
  </r>
  <r>
    <s v="P0564"/>
    <n v="36"/>
    <s v="Male"/>
    <s v="Orthopedic"/>
    <s v="Cardiology"/>
    <s v="Dr. Raj"/>
    <d v="2024-05-28T00:00:00"/>
    <d v="2024-06-15T00:00:00"/>
    <n v="131115"/>
    <s v="Government"/>
    <s v="Insurance Claim"/>
    <x v="2"/>
    <s v="Recovered"/>
    <n v="4"/>
  </r>
  <r>
    <s v="P0565"/>
    <n v="46"/>
    <s v="Female"/>
    <s v="Neurological"/>
    <s v="General Medicine"/>
    <s v="Dr. Arun"/>
    <d v="2024-12-04T00:00:00"/>
    <d v="2024-12-10T00:00:00"/>
    <n v="102058"/>
    <s v="Corporate"/>
    <s v="Card"/>
    <x v="4"/>
    <s v="Under Treatment"/>
    <n v="1"/>
  </r>
  <r>
    <s v="P0566"/>
    <n v="32"/>
    <s v="Male"/>
    <s v="Neurological"/>
    <s v="General Medicine"/>
    <s v="Dr. Arun"/>
    <d v="2024-07-17T00:00:00"/>
    <d v="2024-08-03T00:00:00"/>
    <n v="199309"/>
    <s v="Government"/>
    <s v="UPI"/>
    <x v="0"/>
    <s v="Recovered"/>
    <n v="1"/>
  </r>
  <r>
    <s v="P0567"/>
    <n v="45"/>
    <s v="Male"/>
    <s v="Cancer"/>
    <s v="Orthopedics"/>
    <s v="Dr. Priya"/>
    <d v="2025-05-06T00:00:00"/>
    <d v="2025-05-23T00:00:00"/>
    <n v="20545"/>
    <s v="Government"/>
    <s v="Insurance Claim"/>
    <x v="1"/>
    <s v="Follow-up"/>
    <n v="4"/>
  </r>
  <r>
    <s v="P0568"/>
    <n v="68"/>
    <s v="Male"/>
    <s v="Infection"/>
    <s v="Pulmonology"/>
    <s v="Dr. Meena"/>
    <d v="2025-12-09T00:00:00"/>
    <d v="2025-12-21T00:00:00"/>
    <n v="107793"/>
    <s v="Private"/>
    <s v="Cash"/>
    <x v="4"/>
    <s v="Follow-up"/>
    <n v="4"/>
  </r>
  <r>
    <s v="P0569"/>
    <n v="70"/>
    <s v="Female"/>
    <s v="Orthopedic"/>
    <s v="Neurology"/>
    <s v="Dr. Raj"/>
    <d v="2025-04-09T00:00:00"/>
    <d v="2025-04-11T00:00:00"/>
    <n v="177871"/>
    <s v="None"/>
    <s v="Insurance Claim"/>
    <x v="3"/>
    <s v="Under Treatment"/>
    <n v="2"/>
  </r>
  <r>
    <s v="P0570"/>
    <n v="76"/>
    <s v="Male"/>
    <s v="Respiratory"/>
    <s v="General Medicine"/>
    <s v="Dr. Arun"/>
    <d v="2024-03-12T00:00:00"/>
    <d v="2024-03-25T00:00:00"/>
    <n v="55022"/>
    <s v="Corporate"/>
    <s v="Cash"/>
    <x v="1"/>
    <s v="Recovered"/>
    <n v="4"/>
  </r>
  <r>
    <s v="P0571"/>
    <n v="29"/>
    <s v="Male"/>
    <s v="Cancer"/>
    <s v="Orthopedics"/>
    <s v="Dr. Kumar"/>
    <d v="2025-03-18T00:00:00"/>
    <d v="2025-03-22T00:00:00"/>
    <n v="124130"/>
    <s v="Corporate"/>
    <s v="Card"/>
    <x v="4"/>
    <s v="Follow-up"/>
    <n v="5"/>
  </r>
  <r>
    <s v="P0572"/>
    <n v="46"/>
    <s v="Male"/>
    <s v="Respiratory"/>
    <s v="Cardiology"/>
    <s v="Dr. Arun"/>
    <d v="2024-09-10T00:00:00"/>
    <d v="2024-09-12T00:00:00"/>
    <n v="187657"/>
    <s v="Private"/>
    <s v="Insurance Claim"/>
    <x v="4"/>
    <s v="Follow-up"/>
    <n v="2"/>
  </r>
  <r>
    <s v="P0573"/>
    <n v="72"/>
    <s v="Male"/>
    <s v="Respiratory"/>
    <s v="Neurology"/>
    <s v="Dr. Kumar"/>
    <d v="2025-10-31T00:00:00"/>
    <d v="2025-11-12T00:00:00"/>
    <n v="223242"/>
    <s v="Government"/>
    <s v="Card"/>
    <x v="4"/>
    <s v="Recovered"/>
    <n v="3"/>
  </r>
  <r>
    <s v="P0574"/>
    <n v="85"/>
    <s v="Female"/>
    <s v="Neurological"/>
    <s v="General Medicine"/>
    <s v="Dr. Meena"/>
    <d v="2024-03-06T00:00:00"/>
    <d v="2024-03-24T00:00:00"/>
    <n v="11531"/>
    <s v="Government"/>
    <s v="Cash"/>
    <x v="0"/>
    <s v="Recovered"/>
    <n v="1"/>
  </r>
  <r>
    <s v="P0575"/>
    <n v="31"/>
    <s v="Female"/>
    <s v="Infection"/>
    <s v="Oncology"/>
    <s v="Dr. Priya"/>
    <d v="2025-07-20T00:00:00"/>
    <d v="2025-07-24T00:00:00"/>
    <n v="127235"/>
    <s v="Government"/>
    <s v="UPI"/>
    <x v="0"/>
    <s v="Under Treatment"/>
    <n v="5"/>
  </r>
  <r>
    <s v="P0576"/>
    <n v="79"/>
    <s v="Male"/>
    <s v="Diabetes"/>
    <s v="Cardiology"/>
    <s v="Dr. Raj"/>
    <d v="2025-02-19T00:00:00"/>
    <d v="2025-03-02T00:00:00"/>
    <n v="231363"/>
    <s v="Corporate"/>
    <s v="UPI"/>
    <x v="0"/>
    <s v="Under Treatment"/>
    <n v="4"/>
  </r>
  <r>
    <s v="P0577"/>
    <n v="54"/>
    <s v="Female"/>
    <s v="Respiratory"/>
    <s v="Orthopedics"/>
    <s v="Dr. Kumar"/>
    <d v="2024-04-26T00:00:00"/>
    <d v="2024-04-27T00:00:00"/>
    <n v="20668"/>
    <s v="Corporate"/>
    <s v="UPI"/>
    <x v="4"/>
    <s v="Recovered"/>
    <n v="1"/>
  </r>
  <r>
    <s v="P0578"/>
    <n v="49"/>
    <s v="Male"/>
    <s v="Diabetes"/>
    <s v="Cardiology"/>
    <s v="Dr. Priya"/>
    <d v="2024-04-07T00:00:00"/>
    <d v="2024-04-13T00:00:00"/>
    <n v="44328"/>
    <s v="None"/>
    <s v="Card"/>
    <x v="3"/>
    <s v="Recovered"/>
    <n v="4"/>
  </r>
  <r>
    <s v="P0579"/>
    <n v="24"/>
    <s v="Male"/>
    <s v="Diabetes"/>
    <s v="General Medicine"/>
    <s v="Dr. Priya"/>
    <d v="2025-01-02T00:00:00"/>
    <d v="2025-01-09T00:00:00"/>
    <n v="222571"/>
    <s v="Private"/>
    <s v="Cash"/>
    <x v="2"/>
    <s v="Recovered"/>
    <n v="3"/>
  </r>
  <r>
    <s v="P0580"/>
    <n v="23"/>
    <s v="Female"/>
    <s v="Cardiac"/>
    <s v="Oncology"/>
    <s v="Dr. Raj"/>
    <d v="2024-06-15T00:00:00"/>
    <d v="2024-06-16T00:00:00"/>
    <n v="159048"/>
    <s v="Private"/>
    <s v="Cash"/>
    <x v="1"/>
    <s v="Under Treatment"/>
    <n v="1"/>
  </r>
  <r>
    <s v="P0581"/>
    <n v="83"/>
    <s v="Male"/>
    <s v="Cancer"/>
    <s v="Orthopedics"/>
    <s v="Dr. Raj"/>
    <d v="2024-09-12T00:00:00"/>
    <d v="2024-09-28T00:00:00"/>
    <n v="138379"/>
    <s v="None"/>
    <s v="Insurance Claim"/>
    <x v="0"/>
    <s v="Follow-up"/>
    <n v="4"/>
  </r>
  <r>
    <s v="P0582"/>
    <n v="28"/>
    <s v="Male"/>
    <s v="Neurological"/>
    <s v="Pulmonology"/>
    <s v="Dr. Priya"/>
    <d v="2024-04-14T00:00:00"/>
    <d v="2024-05-02T00:00:00"/>
    <n v="167400"/>
    <s v="Private"/>
    <s v="UPI"/>
    <x v="1"/>
    <s v="Follow-up"/>
    <n v="3"/>
  </r>
  <r>
    <s v="P0583"/>
    <n v="35"/>
    <s v="Female"/>
    <s v="Cardiac"/>
    <s v="Pulmonology"/>
    <s v="Dr. Arun"/>
    <d v="2024-06-15T00:00:00"/>
    <d v="2024-06-18T00:00:00"/>
    <n v="197666"/>
    <s v="Private"/>
    <s v="UPI"/>
    <x v="0"/>
    <s v="Under Treatment"/>
    <n v="5"/>
  </r>
  <r>
    <s v="P0584"/>
    <n v="51"/>
    <s v="Male"/>
    <s v="Cancer"/>
    <s v="Cardiology"/>
    <s v="Dr. Raj"/>
    <d v="2024-07-31T00:00:00"/>
    <d v="2024-08-18T00:00:00"/>
    <n v="213722"/>
    <s v="Government"/>
    <s v="Card"/>
    <x v="0"/>
    <s v="Recovered"/>
    <n v="5"/>
  </r>
  <r>
    <s v="P0585"/>
    <n v="37"/>
    <s v="Male"/>
    <s v="Cardiac"/>
    <s v="Oncology"/>
    <s v="Dr. Meena"/>
    <d v="2025-02-25T00:00:00"/>
    <d v="2025-03-03T00:00:00"/>
    <n v="80669"/>
    <s v="Government"/>
    <s v="Card"/>
    <x v="4"/>
    <s v="Under Treatment"/>
    <n v="1"/>
  </r>
  <r>
    <s v="P0586"/>
    <n v="32"/>
    <s v="Male"/>
    <s v="Neurological"/>
    <s v="Neurology"/>
    <s v="Dr. Raj"/>
    <d v="2025-10-13T00:00:00"/>
    <d v="2025-10-14T00:00:00"/>
    <n v="54058"/>
    <s v="Corporate"/>
    <s v="Card"/>
    <x v="3"/>
    <s v="Follow-up"/>
    <n v="1"/>
  </r>
  <r>
    <s v="P0587"/>
    <n v="21"/>
    <s v="Female"/>
    <s v="Respiratory"/>
    <s v="Orthopedics"/>
    <s v="Dr. Meena"/>
    <d v="2025-02-10T00:00:00"/>
    <d v="2025-02-19T00:00:00"/>
    <n v="243526"/>
    <s v="Government"/>
    <s v="UPI"/>
    <x v="0"/>
    <s v="Follow-up"/>
    <n v="4"/>
  </r>
  <r>
    <s v="P0588"/>
    <n v="82"/>
    <s v="Male"/>
    <s v="Neurological"/>
    <s v="General Medicine"/>
    <s v="Dr. Kumar"/>
    <d v="2025-11-27T00:00:00"/>
    <d v="2025-12-02T00:00:00"/>
    <n v="52140"/>
    <s v="Corporate"/>
    <s v="Card"/>
    <x v="2"/>
    <s v="Follow-up"/>
    <n v="4"/>
  </r>
  <r>
    <s v="P0589"/>
    <n v="54"/>
    <s v="Female"/>
    <s v="Cardiac"/>
    <s v="Neurology"/>
    <s v="Dr. Kumar"/>
    <d v="2024-07-12T00:00:00"/>
    <d v="2024-07-22T00:00:00"/>
    <n v="79454"/>
    <s v="Corporate"/>
    <s v="UPI"/>
    <x v="1"/>
    <s v="Under Treatment"/>
    <n v="2"/>
  </r>
  <r>
    <s v="P0590"/>
    <n v="48"/>
    <s v="Male"/>
    <s v="Diabetes"/>
    <s v="Pulmonology"/>
    <s v="Dr. Kumar"/>
    <d v="2024-05-06T00:00:00"/>
    <d v="2024-05-22T00:00:00"/>
    <n v="190572"/>
    <s v="Private"/>
    <s v="Card"/>
    <x v="3"/>
    <s v="Recovered"/>
    <n v="3"/>
  </r>
  <r>
    <s v="P0591"/>
    <n v="26"/>
    <s v="Male"/>
    <s v="Orthopedic"/>
    <s v="Cardiology"/>
    <s v="Dr. Kumar"/>
    <d v="2025-03-22T00:00:00"/>
    <d v="2025-03-25T00:00:00"/>
    <n v="224224"/>
    <s v="Corporate"/>
    <s v="Cash"/>
    <x v="3"/>
    <s v="Under Treatment"/>
    <n v="3"/>
  </r>
  <r>
    <s v="P0592"/>
    <n v="69"/>
    <s v="Female"/>
    <s v="Cancer"/>
    <s v="Orthopedics"/>
    <s v="Dr. Arun"/>
    <d v="2025-05-03T00:00:00"/>
    <d v="2025-05-20T00:00:00"/>
    <n v="137442"/>
    <s v="Government"/>
    <s v="Card"/>
    <x v="4"/>
    <s v="Under Treatment"/>
    <n v="2"/>
  </r>
  <r>
    <s v="P0593"/>
    <n v="53"/>
    <s v="Female"/>
    <s v="Infection"/>
    <s v="General Medicine"/>
    <s v="Dr. Priya"/>
    <d v="2024-10-19T00:00:00"/>
    <d v="2024-10-27T00:00:00"/>
    <n v="137839"/>
    <s v="Private"/>
    <s v="UPI"/>
    <x v="3"/>
    <s v="Recovered"/>
    <n v="5"/>
  </r>
  <r>
    <s v="P0594"/>
    <n v="63"/>
    <s v="Male"/>
    <s v="Neurological"/>
    <s v="General Medicine"/>
    <s v="Dr. Kumar"/>
    <d v="2025-10-12T00:00:00"/>
    <d v="2025-10-17T00:00:00"/>
    <n v="164508"/>
    <s v="Corporate"/>
    <s v="Insurance Claim"/>
    <x v="1"/>
    <s v="Recovered"/>
    <n v="5"/>
  </r>
  <r>
    <s v="P0595"/>
    <n v="66"/>
    <s v="Female"/>
    <s v="Neurological"/>
    <s v="Oncology"/>
    <s v="Dr. Meena"/>
    <d v="2025-10-26T00:00:00"/>
    <d v="2025-11-06T00:00:00"/>
    <n v="70604"/>
    <s v="None"/>
    <s v="Insurance Claim"/>
    <x v="1"/>
    <s v="Recovered"/>
    <n v="1"/>
  </r>
  <r>
    <s v="P0596"/>
    <n v="37"/>
    <s v="Male"/>
    <s v="Cardiac"/>
    <s v="Cardiology"/>
    <s v="Dr. Raj"/>
    <d v="2025-05-16T00:00:00"/>
    <d v="2025-05-31T00:00:00"/>
    <n v="152446"/>
    <s v="Government"/>
    <s v="Cash"/>
    <x v="1"/>
    <s v="Follow-up"/>
    <n v="3"/>
  </r>
  <r>
    <s v="P0597"/>
    <n v="46"/>
    <s v="Male"/>
    <s v="Respiratory"/>
    <s v="Oncology"/>
    <s v="Dr. Raj"/>
    <d v="2024-04-22T00:00:00"/>
    <d v="2024-04-24T00:00:00"/>
    <n v="181750"/>
    <s v="None"/>
    <s v="UPI"/>
    <x v="3"/>
    <s v="Under Treatment"/>
    <n v="5"/>
  </r>
  <r>
    <s v="P0598"/>
    <n v="79"/>
    <s v="Male"/>
    <s v="Infection"/>
    <s v="Orthopedics"/>
    <s v="Dr. Arun"/>
    <d v="2024-04-16T00:00:00"/>
    <d v="2024-04-24T00:00:00"/>
    <n v="18644"/>
    <s v="Government"/>
    <s v="UPI"/>
    <x v="4"/>
    <s v="Recovered"/>
    <n v="1"/>
  </r>
  <r>
    <s v="P0599"/>
    <n v="68"/>
    <s v="Male"/>
    <s v="Cardiac"/>
    <s v="Neurology"/>
    <s v="Dr. Raj"/>
    <d v="2025-12-13T00:00:00"/>
    <d v="2025-12-31T00:00:00"/>
    <n v="146372"/>
    <s v="Private"/>
    <s v="Cash"/>
    <x v="0"/>
    <s v="Under Treatment"/>
    <n v="1"/>
  </r>
  <r>
    <s v="P0600"/>
    <n v="40"/>
    <s v="Female"/>
    <s v="Infection"/>
    <s v="Cardiology"/>
    <s v="Dr. Priya"/>
    <d v="2025-09-11T00:00:00"/>
    <d v="2025-09-16T00:00:00"/>
    <n v="100318"/>
    <s v="Private"/>
    <s v="Card"/>
    <x v="2"/>
    <s v="Recovered"/>
    <n v="2"/>
  </r>
  <r>
    <s v="P0601"/>
    <n v="54"/>
    <s v="Male"/>
    <s v="Neurological"/>
    <s v="Cardiology"/>
    <s v="Dr. Raj"/>
    <d v="2025-03-05T00:00:00"/>
    <d v="2025-03-17T00:00:00"/>
    <n v="155816"/>
    <s v="Private"/>
    <s v="Cash"/>
    <x v="3"/>
    <s v="Follow-up"/>
    <n v="4"/>
  </r>
  <r>
    <s v="P0602"/>
    <n v="38"/>
    <s v="Male"/>
    <s v="Respiratory"/>
    <s v="Oncology"/>
    <s v="Dr. Priya"/>
    <d v="2025-06-22T00:00:00"/>
    <d v="2025-06-26T00:00:00"/>
    <n v="23979"/>
    <s v="Government"/>
    <s v="Cash"/>
    <x v="2"/>
    <s v="Recovered"/>
    <n v="4"/>
  </r>
  <r>
    <s v="P0603"/>
    <n v="43"/>
    <s v="Female"/>
    <s v="Orthopedic"/>
    <s v="Neurology"/>
    <s v="Dr. Priya"/>
    <d v="2024-10-16T00:00:00"/>
    <d v="2024-10-27T00:00:00"/>
    <n v="153529"/>
    <s v="None"/>
    <s v="Cash"/>
    <x v="4"/>
    <s v="Under Treatment"/>
    <n v="4"/>
  </r>
  <r>
    <s v="P0604"/>
    <n v="75"/>
    <s v="Female"/>
    <s v="Diabetes"/>
    <s v="General Medicine"/>
    <s v="Dr. Raj"/>
    <d v="2024-08-18T00:00:00"/>
    <d v="2024-09-03T00:00:00"/>
    <n v="118383"/>
    <s v="None"/>
    <s v="Cash"/>
    <x v="3"/>
    <s v="Under Treatment"/>
    <n v="4"/>
  </r>
  <r>
    <s v="P0605"/>
    <n v="24"/>
    <s v="Female"/>
    <s v="Neurological"/>
    <s v="Oncology"/>
    <s v="Dr. Arun"/>
    <d v="2025-12-30T00:00:00"/>
    <d v="2026-01-05T00:00:00"/>
    <n v="88099"/>
    <s v="Government"/>
    <s v="Card"/>
    <x v="2"/>
    <s v="Recovered"/>
    <n v="5"/>
  </r>
  <r>
    <s v="P0606"/>
    <n v="48"/>
    <s v="Female"/>
    <s v="Diabetes"/>
    <s v="General Medicine"/>
    <s v="Dr. Priya"/>
    <d v="2024-12-13T00:00:00"/>
    <d v="2025-01-01T00:00:00"/>
    <n v="236420"/>
    <s v="None"/>
    <s v="Cash"/>
    <x v="0"/>
    <s v="Under Treatment"/>
    <n v="4"/>
  </r>
  <r>
    <s v="P0607"/>
    <n v="44"/>
    <s v="Female"/>
    <s v="Respiratory"/>
    <s v="General Medicine"/>
    <s v="Dr. Meena"/>
    <d v="2025-01-17T00:00:00"/>
    <d v="2025-01-26T00:00:00"/>
    <n v="133368"/>
    <s v="Government"/>
    <s v="Insurance Claim"/>
    <x v="3"/>
    <s v="Under Treatment"/>
    <n v="1"/>
  </r>
  <r>
    <s v="P0608"/>
    <n v="29"/>
    <s v="Female"/>
    <s v="Neurological"/>
    <s v="Neurology"/>
    <s v="Dr. Raj"/>
    <d v="2024-12-03T00:00:00"/>
    <d v="2024-12-07T00:00:00"/>
    <n v="212392"/>
    <s v="None"/>
    <s v="Card"/>
    <x v="4"/>
    <s v="Recovered"/>
    <n v="2"/>
  </r>
  <r>
    <s v="P0609"/>
    <n v="35"/>
    <s v="Female"/>
    <s v="Cancer"/>
    <s v="Orthopedics"/>
    <s v="Dr. Meena"/>
    <d v="2024-01-21T00:00:00"/>
    <d v="2024-02-10T00:00:00"/>
    <n v="207914"/>
    <s v="Corporate"/>
    <s v="UPI"/>
    <x v="1"/>
    <s v="Follow-up"/>
    <n v="3"/>
  </r>
  <r>
    <s v="P0610"/>
    <n v="22"/>
    <s v="Female"/>
    <s v="Cardiac"/>
    <s v="Oncology"/>
    <s v="Dr. Kumar"/>
    <d v="2025-01-24T00:00:00"/>
    <d v="2025-01-29T00:00:00"/>
    <n v="107711"/>
    <s v="Private"/>
    <s v="Cash"/>
    <x v="3"/>
    <s v="Under Treatment"/>
    <n v="4"/>
  </r>
  <r>
    <s v="P0611"/>
    <n v="43"/>
    <s v="Male"/>
    <s v="Cancer"/>
    <s v="Oncology"/>
    <s v="Dr. Arun"/>
    <d v="2025-08-04T00:00:00"/>
    <d v="2025-08-05T00:00:00"/>
    <n v="75202"/>
    <s v="Private"/>
    <s v="Card"/>
    <x v="0"/>
    <s v="Recovered"/>
    <n v="1"/>
  </r>
  <r>
    <s v="P0612"/>
    <n v="52"/>
    <s v="Male"/>
    <s v="Respiratory"/>
    <s v="Oncology"/>
    <s v="Dr. Priya"/>
    <d v="2024-07-12T00:00:00"/>
    <d v="2024-07-23T00:00:00"/>
    <n v="125217"/>
    <s v="None"/>
    <s v="Cash"/>
    <x v="1"/>
    <s v="Recovered"/>
    <n v="3"/>
  </r>
  <r>
    <s v="P0613"/>
    <n v="53"/>
    <s v="Female"/>
    <s v="Neurological"/>
    <s v="Pulmonology"/>
    <s v="Dr. Raj"/>
    <d v="2024-05-22T00:00:00"/>
    <d v="2024-05-28T00:00:00"/>
    <n v="178364"/>
    <s v="Government"/>
    <s v="UPI"/>
    <x v="0"/>
    <s v="Recovered"/>
    <n v="5"/>
  </r>
  <r>
    <s v="P0614"/>
    <n v="40"/>
    <s v="Female"/>
    <s v="Cancer"/>
    <s v="Neurology"/>
    <s v="Dr. Priya"/>
    <d v="2025-07-17T00:00:00"/>
    <d v="2025-08-05T00:00:00"/>
    <n v="180397"/>
    <s v="None"/>
    <s v="UPI"/>
    <x v="1"/>
    <s v="Follow-up"/>
    <n v="2"/>
  </r>
  <r>
    <s v="P0615"/>
    <n v="60"/>
    <s v="Female"/>
    <s v="Infection"/>
    <s v="Orthopedics"/>
    <s v="Dr. Arun"/>
    <d v="2024-06-11T00:00:00"/>
    <d v="2024-06-25T00:00:00"/>
    <n v="31999"/>
    <s v="Private"/>
    <s v="Cash"/>
    <x v="2"/>
    <s v="Recovered"/>
    <n v="3"/>
  </r>
  <r>
    <s v="P0616"/>
    <n v="57"/>
    <s v="Male"/>
    <s v="Respiratory"/>
    <s v="Cardiology"/>
    <s v="Dr. Priya"/>
    <d v="2025-11-23T00:00:00"/>
    <d v="2025-11-30T00:00:00"/>
    <n v="118548"/>
    <s v="Private"/>
    <s v="UPI"/>
    <x v="3"/>
    <s v="Follow-up"/>
    <n v="2"/>
  </r>
  <r>
    <s v="P0617"/>
    <n v="59"/>
    <s v="Female"/>
    <s v="Orthopedic"/>
    <s v="General Medicine"/>
    <s v="Dr. Kumar"/>
    <d v="2025-09-14T00:00:00"/>
    <d v="2025-09-25T00:00:00"/>
    <n v="55804"/>
    <s v="None"/>
    <s v="UPI"/>
    <x v="0"/>
    <s v="Recovered"/>
    <n v="3"/>
  </r>
  <r>
    <s v="P0618"/>
    <n v="41"/>
    <s v="Male"/>
    <s v="Cardiac"/>
    <s v="Orthopedics"/>
    <s v="Dr. Meena"/>
    <d v="2025-08-20T00:00:00"/>
    <d v="2025-08-26T00:00:00"/>
    <n v="54133"/>
    <s v="Private"/>
    <s v="Cash"/>
    <x v="2"/>
    <s v="Recovered"/>
    <n v="2"/>
  </r>
  <r>
    <s v="P0619"/>
    <n v="57"/>
    <s v="Male"/>
    <s v="Infection"/>
    <s v="Orthopedics"/>
    <s v="Dr. Kumar"/>
    <d v="2025-08-19T00:00:00"/>
    <d v="2025-08-25T00:00:00"/>
    <n v="133135"/>
    <s v="Government"/>
    <s v="Card"/>
    <x v="3"/>
    <s v="Follow-up"/>
    <n v="2"/>
  </r>
  <r>
    <s v="P0620"/>
    <n v="27"/>
    <s v="Female"/>
    <s v="Cardiac"/>
    <s v="Neurology"/>
    <s v="Dr. Kumar"/>
    <d v="2024-12-29T00:00:00"/>
    <d v="2025-01-18T00:00:00"/>
    <n v="18714"/>
    <s v="Corporate"/>
    <s v="Cash"/>
    <x v="0"/>
    <s v="Follow-up"/>
    <n v="5"/>
  </r>
  <r>
    <s v="P0621"/>
    <n v="34"/>
    <s v="Male"/>
    <s v="Diabetes"/>
    <s v="Orthopedics"/>
    <s v="Dr. Kumar"/>
    <d v="2025-09-25T00:00:00"/>
    <d v="2025-10-08T00:00:00"/>
    <n v="187523"/>
    <s v="None"/>
    <s v="UPI"/>
    <x v="4"/>
    <s v="Recovered"/>
    <n v="5"/>
  </r>
  <r>
    <s v="P0622"/>
    <n v="67"/>
    <s v="Male"/>
    <s v="Respiratory"/>
    <s v="Pulmonology"/>
    <s v="Dr. Raj"/>
    <d v="2024-10-11T00:00:00"/>
    <d v="2024-10-29T00:00:00"/>
    <n v="34829"/>
    <s v="None"/>
    <s v="UPI"/>
    <x v="3"/>
    <s v="Under Treatment"/>
    <n v="2"/>
  </r>
  <r>
    <s v="P0623"/>
    <n v="83"/>
    <s v="Female"/>
    <s v="Infection"/>
    <s v="Orthopedics"/>
    <s v="Dr. Priya"/>
    <d v="2024-01-01T00:00:00"/>
    <d v="2024-01-11T00:00:00"/>
    <n v="159046"/>
    <s v="Private"/>
    <s v="Cash"/>
    <x v="0"/>
    <s v="Under Treatment"/>
    <n v="4"/>
  </r>
  <r>
    <s v="P0624"/>
    <n v="84"/>
    <s v="Female"/>
    <s v="Respiratory"/>
    <s v="Pulmonology"/>
    <s v="Dr. Priya"/>
    <d v="2024-10-05T00:00:00"/>
    <d v="2024-10-08T00:00:00"/>
    <n v="21228"/>
    <s v="Corporate"/>
    <s v="UPI"/>
    <x v="3"/>
    <s v="Recovered"/>
    <n v="4"/>
  </r>
  <r>
    <s v="P0625"/>
    <n v="45"/>
    <s v="Female"/>
    <s v="Cancer"/>
    <s v="Orthopedics"/>
    <s v="Dr. Arun"/>
    <d v="2025-06-21T00:00:00"/>
    <d v="2025-07-08T00:00:00"/>
    <n v="92603"/>
    <s v="None"/>
    <s v="Insurance Claim"/>
    <x v="3"/>
    <s v="Under Treatment"/>
    <n v="1"/>
  </r>
  <r>
    <s v="P0626"/>
    <n v="74"/>
    <s v="Female"/>
    <s v="Orthopedic"/>
    <s v="Cardiology"/>
    <s v="Dr. Meena"/>
    <d v="2024-06-18T00:00:00"/>
    <d v="2024-06-20T00:00:00"/>
    <n v="123018"/>
    <s v="Government"/>
    <s v="Insurance Claim"/>
    <x v="1"/>
    <s v="Follow-up"/>
    <n v="2"/>
  </r>
  <r>
    <s v="P0627"/>
    <n v="42"/>
    <s v="Male"/>
    <s v="Neurological"/>
    <s v="Neurology"/>
    <s v="Dr. Kumar"/>
    <d v="2025-09-19T00:00:00"/>
    <d v="2025-09-23T00:00:00"/>
    <n v="54161"/>
    <s v="None"/>
    <s v="UPI"/>
    <x v="3"/>
    <s v="Under Treatment"/>
    <n v="1"/>
  </r>
  <r>
    <s v="P0628"/>
    <n v="42"/>
    <s v="Male"/>
    <s v="Infection"/>
    <s v="General Medicine"/>
    <s v="Dr. Arun"/>
    <d v="2025-05-05T00:00:00"/>
    <d v="2025-05-15T00:00:00"/>
    <n v="21072"/>
    <s v="Government"/>
    <s v="Insurance Claim"/>
    <x v="3"/>
    <s v="Under Treatment"/>
    <n v="5"/>
  </r>
  <r>
    <s v="P0629"/>
    <n v="51"/>
    <s v="Female"/>
    <s v="Cancer"/>
    <s v="Cardiology"/>
    <s v="Dr. Kumar"/>
    <d v="2025-03-08T00:00:00"/>
    <d v="2025-03-15T00:00:00"/>
    <n v="132429"/>
    <s v="Corporate"/>
    <s v="Cash"/>
    <x v="1"/>
    <s v="Under Treatment"/>
    <n v="2"/>
  </r>
  <r>
    <s v="P0630"/>
    <n v="78"/>
    <s v="Male"/>
    <s v="Cardiac"/>
    <s v="Cardiology"/>
    <s v="Dr. Priya"/>
    <d v="2025-07-04T00:00:00"/>
    <d v="2025-07-17T00:00:00"/>
    <n v="106642"/>
    <s v="Private"/>
    <s v="Card"/>
    <x v="0"/>
    <s v="Recovered"/>
    <n v="4"/>
  </r>
  <r>
    <s v="P0631"/>
    <n v="36"/>
    <s v="Female"/>
    <s v="Orthopedic"/>
    <s v="Oncology"/>
    <s v="Dr. Kumar"/>
    <d v="2024-08-02T00:00:00"/>
    <d v="2024-08-05T00:00:00"/>
    <n v="141223"/>
    <s v="None"/>
    <s v="Insurance Claim"/>
    <x v="4"/>
    <s v="Recovered"/>
    <n v="5"/>
  </r>
  <r>
    <s v="P0632"/>
    <n v="82"/>
    <s v="Male"/>
    <s v="Cancer"/>
    <s v="Orthopedics"/>
    <s v="Dr. Raj"/>
    <d v="2025-01-13T00:00:00"/>
    <d v="2025-01-21T00:00:00"/>
    <n v="16518"/>
    <s v="None"/>
    <s v="Card"/>
    <x v="4"/>
    <s v="Under Treatment"/>
    <n v="2"/>
  </r>
  <r>
    <s v="P0633"/>
    <n v="30"/>
    <s v="Male"/>
    <s v="Orthopedic"/>
    <s v="Cardiology"/>
    <s v="Dr. Meena"/>
    <d v="2025-11-02T00:00:00"/>
    <d v="2025-11-12T00:00:00"/>
    <n v="105529"/>
    <s v="Private"/>
    <s v="UPI"/>
    <x v="1"/>
    <s v="Recovered"/>
    <n v="3"/>
  </r>
  <r>
    <s v="P0634"/>
    <n v="60"/>
    <s v="Female"/>
    <s v="Cardiac"/>
    <s v="Neurology"/>
    <s v="Dr. Priya"/>
    <d v="2024-12-16T00:00:00"/>
    <d v="2024-12-22T00:00:00"/>
    <n v="138227"/>
    <s v="None"/>
    <s v="Card"/>
    <x v="2"/>
    <s v="Recovered"/>
    <n v="4"/>
  </r>
  <r>
    <s v="P0635"/>
    <n v="62"/>
    <s v="Female"/>
    <s v="Cardiac"/>
    <s v="Oncology"/>
    <s v="Dr. Priya"/>
    <d v="2025-10-01T00:00:00"/>
    <d v="2025-10-14T00:00:00"/>
    <n v="149310"/>
    <s v="Government"/>
    <s v="Card"/>
    <x v="1"/>
    <s v="Follow-up"/>
    <n v="3"/>
  </r>
  <r>
    <s v="P0636"/>
    <n v="23"/>
    <s v="Female"/>
    <s v="Respiratory"/>
    <s v="Neurology"/>
    <s v="Dr. Arun"/>
    <d v="2025-05-15T00:00:00"/>
    <d v="2025-05-22T00:00:00"/>
    <n v="118718"/>
    <s v="None"/>
    <s v="Card"/>
    <x v="3"/>
    <s v="Under Treatment"/>
    <n v="4"/>
  </r>
  <r>
    <s v="P0637"/>
    <n v="26"/>
    <s v="Male"/>
    <s v="Cardiac"/>
    <s v="General Medicine"/>
    <s v="Dr. Arun"/>
    <d v="2024-01-29T00:00:00"/>
    <d v="2024-01-31T00:00:00"/>
    <n v="144283"/>
    <s v="Corporate"/>
    <s v="Cash"/>
    <x v="2"/>
    <s v="Under Treatment"/>
    <n v="3"/>
  </r>
  <r>
    <s v="P0638"/>
    <n v="32"/>
    <s v="Female"/>
    <s v="Orthopedic"/>
    <s v="Cardiology"/>
    <s v="Dr. Arun"/>
    <d v="2024-08-27T00:00:00"/>
    <d v="2024-09-03T00:00:00"/>
    <n v="138757"/>
    <s v="Government"/>
    <s v="UPI"/>
    <x v="2"/>
    <s v="Recovered"/>
    <n v="3"/>
  </r>
  <r>
    <s v="P0639"/>
    <n v="48"/>
    <s v="Male"/>
    <s v="Diabetes"/>
    <s v="Pulmonology"/>
    <s v="Dr. Priya"/>
    <d v="2025-02-25T00:00:00"/>
    <d v="2025-03-06T00:00:00"/>
    <n v="118350"/>
    <s v="Government"/>
    <s v="Insurance Claim"/>
    <x v="4"/>
    <s v="Under Treatment"/>
    <n v="5"/>
  </r>
  <r>
    <s v="P0640"/>
    <n v="85"/>
    <s v="Male"/>
    <s v="Diabetes"/>
    <s v="General Medicine"/>
    <s v="Dr. Arun"/>
    <d v="2025-02-27T00:00:00"/>
    <d v="2025-03-06T00:00:00"/>
    <n v="41263"/>
    <s v="None"/>
    <s v="Cash"/>
    <x v="0"/>
    <s v="Under Treatment"/>
    <n v="1"/>
  </r>
  <r>
    <s v="P0641"/>
    <n v="52"/>
    <s v="Male"/>
    <s v="Cancer"/>
    <s v="Cardiology"/>
    <s v="Dr. Meena"/>
    <d v="2024-09-13T00:00:00"/>
    <d v="2024-09-15T00:00:00"/>
    <n v="163041"/>
    <s v="None"/>
    <s v="UPI"/>
    <x v="4"/>
    <s v="Recovered"/>
    <n v="1"/>
  </r>
  <r>
    <s v="P0642"/>
    <n v="80"/>
    <s v="Female"/>
    <s v="Cardiac"/>
    <s v="Cardiology"/>
    <s v="Dr. Raj"/>
    <d v="2024-03-30T00:00:00"/>
    <d v="2024-03-31T00:00:00"/>
    <n v="16515"/>
    <s v="Government"/>
    <s v="Card"/>
    <x v="3"/>
    <s v="Recovered"/>
    <n v="5"/>
  </r>
  <r>
    <s v="P0643"/>
    <n v="56"/>
    <s v="Male"/>
    <s v="Cardiac"/>
    <s v="Oncology"/>
    <s v="Dr. Raj"/>
    <d v="2024-07-17T00:00:00"/>
    <d v="2024-07-24T00:00:00"/>
    <n v="10364"/>
    <s v="Corporate"/>
    <s v="Cash"/>
    <x v="4"/>
    <s v="Under Treatment"/>
    <n v="5"/>
  </r>
  <r>
    <s v="P0644"/>
    <n v="46"/>
    <s v="Male"/>
    <s v="Infection"/>
    <s v="Orthopedics"/>
    <s v="Dr. Kumar"/>
    <d v="2024-05-03T00:00:00"/>
    <d v="2024-05-21T00:00:00"/>
    <n v="143451"/>
    <s v="Private"/>
    <s v="Cash"/>
    <x v="4"/>
    <s v="Recovered"/>
    <n v="4"/>
  </r>
  <r>
    <s v="P0645"/>
    <n v="56"/>
    <s v="Female"/>
    <s v="Infection"/>
    <s v="Pulmonology"/>
    <s v="Dr. Arun"/>
    <d v="2024-05-02T00:00:00"/>
    <d v="2024-05-15T00:00:00"/>
    <n v="61259"/>
    <s v="None"/>
    <s v="Card"/>
    <x v="4"/>
    <s v="Recovered"/>
    <n v="4"/>
  </r>
  <r>
    <s v="P0646"/>
    <n v="65"/>
    <s v="Female"/>
    <s v="Diabetes"/>
    <s v="Cardiology"/>
    <s v="Dr. Meena"/>
    <d v="2024-10-20T00:00:00"/>
    <d v="2024-10-22T00:00:00"/>
    <n v="70794"/>
    <s v="None"/>
    <s v="Insurance Claim"/>
    <x v="3"/>
    <s v="Follow-up"/>
    <n v="1"/>
  </r>
  <r>
    <s v="P0647"/>
    <n v="77"/>
    <s v="Female"/>
    <s v="Respiratory"/>
    <s v="Oncology"/>
    <s v="Dr. Kumar"/>
    <d v="2024-10-13T00:00:00"/>
    <d v="2024-10-20T00:00:00"/>
    <n v="127527"/>
    <s v="Government"/>
    <s v="Cash"/>
    <x v="3"/>
    <s v="Recovered"/>
    <n v="1"/>
  </r>
  <r>
    <s v="P0648"/>
    <n v="63"/>
    <s v="Male"/>
    <s v="Orthopedic"/>
    <s v="Orthopedics"/>
    <s v="Dr. Meena"/>
    <d v="2024-07-16T00:00:00"/>
    <d v="2024-07-18T00:00:00"/>
    <n v="241408"/>
    <s v="Government"/>
    <s v="UPI"/>
    <x v="2"/>
    <s v="Recovered"/>
    <n v="5"/>
  </r>
  <r>
    <s v="P0649"/>
    <n v="72"/>
    <s v="Female"/>
    <s v="Diabetes"/>
    <s v="Oncology"/>
    <s v="Dr. Kumar"/>
    <d v="2024-02-05T00:00:00"/>
    <d v="2024-02-18T00:00:00"/>
    <n v="26109"/>
    <s v="Corporate"/>
    <s v="Card"/>
    <x v="2"/>
    <s v="Recovered"/>
    <n v="5"/>
  </r>
  <r>
    <s v="P0650"/>
    <n v="57"/>
    <s v="Female"/>
    <s v="Respiratory"/>
    <s v="Cardiology"/>
    <s v="Dr. Raj"/>
    <d v="2024-01-20T00:00:00"/>
    <d v="2024-01-27T00:00:00"/>
    <n v="110051"/>
    <s v="None"/>
    <s v="UPI"/>
    <x v="1"/>
    <s v="Under Treatment"/>
    <n v="3"/>
  </r>
  <r>
    <s v="P0651"/>
    <n v="42"/>
    <s v="Female"/>
    <s v="Diabetes"/>
    <s v="Pulmonology"/>
    <s v="Dr. Priya"/>
    <d v="2025-11-09T00:00:00"/>
    <d v="2025-11-25T00:00:00"/>
    <n v="83137"/>
    <s v="Private"/>
    <s v="Card"/>
    <x v="1"/>
    <s v="Follow-up"/>
    <n v="5"/>
  </r>
  <r>
    <s v="P0652"/>
    <n v="61"/>
    <s v="Female"/>
    <s v="Orthopedic"/>
    <s v="Oncology"/>
    <s v="Dr. Priya"/>
    <d v="2024-01-01T00:00:00"/>
    <d v="2024-01-12T00:00:00"/>
    <n v="118570"/>
    <s v="None"/>
    <s v="Insurance Claim"/>
    <x v="0"/>
    <s v="Recovered"/>
    <n v="4"/>
  </r>
  <r>
    <s v="P0653"/>
    <n v="74"/>
    <s v="Female"/>
    <s v="Cancer"/>
    <s v="Cardiology"/>
    <s v="Dr. Kumar"/>
    <d v="2025-01-26T00:00:00"/>
    <d v="2025-01-29T00:00:00"/>
    <n v="21486"/>
    <s v="None"/>
    <s v="Cash"/>
    <x v="3"/>
    <s v="Recovered"/>
    <n v="1"/>
  </r>
  <r>
    <s v="P0654"/>
    <n v="28"/>
    <s v="Female"/>
    <s v="Infection"/>
    <s v="Cardiology"/>
    <s v="Dr. Raj"/>
    <d v="2025-04-24T00:00:00"/>
    <d v="2025-05-11T00:00:00"/>
    <n v="60842"/>
    <s v="Private"/>
    <s v="Card"/>
    <x v="0"/>
    <s v="Recovered"/>
    <n v="5"/>
  </r>
  <r>
    <s v="P0655"/>
    <n v="75"/>
    <s v="Male"/>
    <s v="Infection"/>
    <s v="Pulmonology"/>
    <s v="Dr. Arun"/>
    <d v="2024-06-07T00:00:00"/>
    <d v="2024-06-22T00:00:00"/>
    <n v="22910"/>
    <s v="Corporate"/>
    <s v="UPI"/>
    <x v="2"/>
    <s v="Follow-up"/>
    <n v="1"/>
  </r>
  <r>
    <s v="P0656"/>
    <n v="50"/>
    <s v="Female"/>
    <s v="Cancer"/>
    <s v="Neurology"/>
    <s v="Dr. Arun"/>
    <d v="2025-09-11T00:00:00"/>
    <d v="2025-09-27T00:00:00"/>
    <n v="60286"/>
    <s v="Corporate"/>
    <s v="UPI"/>
    <x v="0"/>
    <s v="Follow-up"/>
    <n v="1"/>
  </r>
  <r>
    <s v="P0657"/>
    <n v="76"/>
    <s v="Female"/>
    <s v="Cardiac"/>
    <s v="Cardiology"/>
    <s v="Dr. Kumar"/>
    <d v="2025-05-08T00:00:00"/>
    <d v="2025-05-19T00:00:00"/>
    <n v="90924"/>
    <s v="None"/>
    <s v="Cash"/>
    <x v="2"/>
    <s v="Follow-up"/>
    <n v="5"/>
  </r>
  <r>
    <s v="P0658"/>
    <n v="29"/>
    <s v="Male"/>
    <s v="Infection"/>
    <s v="General Medicine"/>
    <s v="Dr. Raj"/>
    <d v="2025-12-07T00:00:00"/>
    <d v="2025-12-24T00:00:00"/>
    <n v="24820"/>
    <s v="Government"/>
    <s v="Insurance Claim"/>
    <x v="3"/>
    <s v="Recovered"/>
    <n v="2"/>
  </r>
  <r>
    <s v="P0659"/>
    <n v="77"/>
    <s v="Female"/>
    <s v="Neurological"/>
    <s v="Oncology"/>
    <s v="Dr. Priya"/>
    <d v="2025-05-18T00:00:00"/>
    <d v="2025-06-02T00:00:00"/>
    <n v="6671"/>
    <s v="Corporate"/>
    <s v="Card"/>
    <x v="0"/>
    <s v="Under Treatment"/>
    <n v="2"/>
  </r>
  <r>
    <s v="P0660"/>
    <n v="72"/>
    <s v="Female"/>
    <s v="Neurological"/>
    <s v="Pulmonology"/>
    <s v="Dr. Priya"/>
    <d v="2024-12-01T00:00:00"/>
    <d v="2024-12-13T00:00:00"/>
    <n v="71616"/>
    <s v="None"/>
    <s v="Cash"/>
    <x v="1"/>
    <s v="Follow-up"/>
    <n v="2"/>
  </r>
  <r>
    <s v="P0661"/>
    <n v="53"/>
    <s v="Male"/>
    <s v="Cancer"/>
    <s v="Oncology"/>
    <s v="Dr. Raj"/>
    <d v="2024-06-13T00:00:00"/>
    <d v="2024-06-16T00:00:00"/>
    <n v="245692"/>
    <s v="Private"/>
    <s v="Cash"/>
    <x v="2"/>
    <s v="Under Treatment"/>
    <n v="3"/>
  </r>
  <r>
    <s v="P0662"/>
    <n v="61"/>
    <s v="Female"/>
    <s v="Cancer"/>
    <s v="Cardiology"/>
    <s v="Dr. Kumar"/>
    <d v="2024-04-01T00:00:00"/>
    <d v="2024-04-07T00:00:00"/>
    <n v="200814"/>
    <s v="Corporate"/>
    <s v="Card"/>
    <x v="1"/>
    <s v="Follow-up"/>
    <n v="4"/>
  </r>
  <r>
    <s v="P0663"/>
    <n v="24"/>
    <s v="Male"/>
    <s v="Cardiac"/>
    <s v="General Medicine"/>
    <s v="Dr. Meena"/>
    <d v="2025-09-28T00:00:00"/>
    <d v="2025-10-03T00:00:00"/>
    <n v="233216"/>
    <s v="Government"/>
    <s v="UPI"/>
    <x v="4"/>
    <s v="Recovered"/>
    <n v="2"/>
  </r>
  <r>
    <s v="P0664"/>
    <n v="49"/>
    <s v="Male"/>
    <s v="Neurological"/>
    <s v="Oncology"/>
    <s v="Dr. Meena"/>
    <d v="2025-02-04T00:00:00"/>
    <d v="2025-02-08T00:00:00"/>
    <n v="105420"/>
    <s v="Private"/>
    <s v="Insurance Claim"/>
    <x v="1"/>
    <s v="Under Treatment"/>
    <n v="3"/>
  </r>
  <r>
    <s v="P0665"/>
    <n v="79"/>
    <s v="Male"/>
    <s v="Infection"/>
    <s v="General Medicine"/>
    <s v="Dr. Arun"/>
    <d v="2024-05-04T00:00:00"/>
    <d v="2024-05-06T00:00:00"/>
    <n v="159748"/>
    <s v="Private"/>
    <s v="Cash"/>
    <x v="0"/>
    <s v="Follow-up"/>
    <n v="2"/>
  </r>
  <r>
    <s v="P0666"/>
    <n v="36"/>
    <s v="Female"/>
    <s v="Diabetes"/>
    <s v="Cardiology"/>
    <s v="Dr. Raj"/>
    <d v="2025-07-27T00:00:00"/>
    <d v="2025-07-28T00:00:00"/>
    <n v="139608"/>
    <s v="Private"/>
    <s v="Card"/>
    <x v="2"/>
    <s v="Follow-up"/>
    <n v="5"/>
  </r>
  <r>
    <s v="P0667"/>
    <n v="76"/>
    <s v="Male"/>
    <s v="Infection"/>
    <s v="Oncology"/>
    <s v="Dr. Kumar"/>
    <d v="2024-12-07T00:00:00"/>
    <d v="2024-12-08T00:00:00"/>
    <n v="170849"/>
    <s v="Private"/>
    <s v="Cash"/>
    <x v="0"/>
    <s v="Recovered"/>
    <n v="3"/>
  </r>
  <r>
    <s v="P0668"/>
    <n v="55"/>
    <s v="Female"/>
    <s v="Neurological"/>
    <s v="Pulmonology"/>
    <s v="Dr. Kumar"/>
    <d v="2024-02-15T00:00:00"/>
    <d v="2024-03-01T00:00:00"/>
    <n v="34105"/>
    <s v="Government"/>
    <s v="Cash"/>
    <x v="1"/>
    <s v="Under Treatment"/>
    <n v="1"/>
  </r>
  <r>
    <s v="P0669"/>
    <n v="58"/>
    <s v="Female"/>
    <s v="Infection"/>
    <s v="Oncology"/>
    <s v="Dr. Kumar"/>
    <d v="2024-08-20T00:00:00"/>
    <d v="2024-09-05T00:00:00"/>
    <n v="52795"/>
    <s v="Corporate"/>
    <s v="UPI"/>
    <x v="4"/>
    <s v="Follow-up"/>
    <n v="4"/>
  </r>
  <r>
    <s v="P0670"/>
    <n v="45"/>
    <s v="Female"/>
    <s v="Respiratory"/>
    <s v="Neurology"/>
    <s v="Dr. Priya"/>
    <d v="2024-04-23T00:00:00"/>
    <d v="2024-04-28T00:00:00"/>
    <n v="70631"/>
    <s v="None"/>
    <s v="Cash"/>
    <x v="3"/>
    <s v="Follow-up"/>
    <n v="4"/>
  </r>
  <r>
    <s v="P0671"/>
    <n v="78"/>
    <s v="Male"/>
    <s v="Neurological"/>
    <s v="Oncology"/>
    <s v="Dr. Meena"/>
    <d v="2025-06-17T00:00:00"/>
    <d v="2025-06-23T00:00:00"/>
    <n v="154087"/>
    <s v="Government"/>
    <s v="Card"/>
    <x v="3"/>
    <s v="Under Treatment"/>
    <n v="5"/>
  </r>
  <r>
    <s v="P0672"/>
    <n v="73"/>
    <s v="Female"/>
    <s v="Infection"/>
    <s v="Neurology"/>
    <s v="Dr. Arun"/>
    <d v="2025-01-16T00:00:00"/>
    <d v="2025-01-23T00:00:00"/>
    <n v="10309"/>
    <s v="Private"/>
    <s v="Cash"/>
    <x v="4"/>
    <s v="Under Treatment"/>
    <n v="3"/>
  </r>
  <r>
    <s v="P0673"/>
    <n v="55"/>
    <s v="Male"/>
    <s v="Cardiac"/>
    <s v="General Medicine"/>
    <s v="Dr. Kumar"/>
    <d v="2024-02-18T00:00:00"/>
    <d v="2024-03-06T00:00:00"/>
    <n v="126061"/>
    <s v="Private"/>
    <s v="UPI"/>
    <x v="0"/>
    <s v="Under Treatment"/>
    <n v="3"/>
  </r>
  <r>
    <s v="P0674"/>
    <n v="34"/>
    <s v="Female"/>
    <s v="Diabetes"/>
    <s v="Pulmonology"/>
    <s v="Dr. Priya"/>
    <d v="2024-04-12T00:00:00"/>
    <d v="2024-04-28T00:00:00"/>
    <n v="52056"/>
    <s v="Corporate"/>
    <s v="Card"/>
    <x v="4"/>
    <s v="Recovered"/>
    <n v="3"/>
  </r>
  <r>
    <s v="P0675"/>
    <n v="67"/>
    <s v="Female"/>
    <s v="Cancer"/>
    <s v="General Medicine"/>
    <s v="Dr. Meena"/>
    <d v="2025-01-29T00:00:00"/>
    <d v="2025-02-01T00:00:00"/>
    <n v="103180"/>
    <s v="Corporate"/>
    <s v="Cash"/>
    <x v="4"/>
    <s v="Follow-up"/>
    <n v="5"/>
  </r>
  <r>
    <s v="P0676"/>
    <n v="54"/>
    <s v="Male"/>
    <s v="Orthopedic"/>
    <s v="Neurology"/>
    <s v="Dr. Meena"/>
    <d v="2024-06-14T00:00:00"/>
    <d v="2024-06-30T00:00:00"/>
    <n v="89837"/>
    <s v="Government"/>
    <s v="Card"/>
    <x v="0"/>
    <s v="Follow-up"/>
    <n v="1"/>
  </r>
  <r>
    <s v="P0677"/>
    <n v="60"/>
    <s v="Female"/>
    <s v="Diabetes"/>
    <s v="General Medicine"/>
    <s v="Dr. Meena"/>
    <d v="2024-10-29T00:00:00"/>
    <d v="2024-11-07T00:00:00"/>
    <n v="40591"/>
    <s v="Corporate"/>
    <s v="Cash"/>
    <x v="0"/>
    <s v="Recovered"/>
    <n v="4"/>
  </r>
  <r>
    <s v="P0678"/>
    <n v="32"/>
    <s v="Female"/>
    <s v="Neurological"/>
    <s v="General Medicine"/>
    <s v="Dr. Meena"/>
    <d v="2024-05-13T00:00:00"/>
    <d v="2024-05-15T00:00:00"/>
    <n v="50782"/>
    <s v="Government"/>
    <s v="Cash"/>
    <x v="3"/>
    <s v="Recovered"/>
    <n v="5"/>
  </r>
  <r>
    <s v="P0679"/>
    <n v="25"/>
    <s v="Male"/>
    <s v="Cardiac"/>
    <s v="Neurology"/>
    <s v="Dr. Kumar"/>
    <d v="2024-02-25T00:00:00"/>
    <d v="2024-03-11T00:00:00"/>
    <n v="137973"/>
    <s v="Private"/>
    <s v="Cash"/>
    <x v="0"/>
    <s v="Under Treatment"/>
    <n v="4"/>
  </r>
  <r>
    <s v="P0680"/>
    <n v="61"/>
    <s v="Male"/>
    <s v="Neurological"/>
    <s v="Oncology"/>
    <s v="Dr. Raj"/>
    <d v="2024-08-03T00:00:00"/>
    <d v="2024-08-10T00:00:00"/>
    <n v="192062"/>
    <s v="Government"/>
    <s v="UPI"/>
    <x v="3"/>
    <s v="Follow-up"/>
    <n v="4"/>
  </r>
  <r>
    <s v="P0681"/>
    <n v="44"/>
    <s v="Female"/>
    <s v="Respiratory"/>
    <s v="General Medicine"/>
    <s v="Dr. Kumar"/>
    <d v="2024-05-20T00:00:00"/>
    <d v="2024-06-07T00:00:00"/>
    <n v="53161"/>
    <s v="None"/>
    <s v="Cash"/>
    <x v="1"/>
    <s v="Recovered"/>
    <n v="3"/>
  </r>
  <r>
    <s v="P0682"/>
    <n v="83"/>
    <s v="Male"/>
    <s v="Neurological"/>
    <s v="Orthopedics"/>
    <s v="Dr. Arun"/>
    <d v="2025-12-10T00:00:00"/>
    <d v="2025-12-26T00:00:00"/>
    <n v="208628"/>
    <s v="Government"/>
    <s v="Insurance Claim"/>
    <x v="2"/>
    <s v="Recovered"/>
    <n v="3"/>
  </r>
  <r>
    <s v="P0683"/>
    <n v="82"/>
    <s v="Female"/>
    <s v="Respiratory"/>
    <s v="General Medicine"/>
    <s v="Dr. Meena"/>
    <d v="2024-06-04T00:00:00"/>
    <d v="2024-06-22T00:00:00"/>
    <n v="192599"/>
    <s v="Government"/>
    <s v="UPI"/>
    <x v="1"/>
    <s v="Under Treatment"/>
    <n v="3"/>
  </r>
  <r>
    <s v="P0684"/>
    <n v="52"/>
    <s v="Female"/>
    <s v="Neurological"/>
    <s v="General Medicine"/>
    <s v="Dr. Priya"/>
    <d v="2025-12-05T00:00:00"/>
    <d v="2025-12-23T00:00:00"/>
    <n v="43912"/>
    <s v="None"/>
    <s v="Cash"/>
    <x v="2"/>
    <s v="Recovered"/>
    <n v="1"/>
  </r>
  <r>
    <s v="P0685"/>
    <n v="45"/>
    <s v="Male"/>
    <s v="Respiratory"/>
    <s v="General Medicine"/>
    <s v="Dr. Raj"/>
    <d v="2025-05-20T00:00:00"/>
    <d v="2025-06-01T00:00:00"/>
    <n v="64529"/>
    <s v="None"/>
    <s v="UPI"/>
    <x v="1"/>
    <s v="Recovered"/>
    <n v="1"/>
  </r>
  <r>
    <s v="P0686"/>
    <n v="27"/>
    <s v="Female"/>
    <s v="Respiratory"/>
    <s v="Orthopedics"/>
    <s v="Dr. Kumar"/>
    <d v="2025-05-28T00:00:00"/>
    <d v="2025-05-30T00:00:00"/>
    <n v="229970"/>
    <s v="None"/>
    <s v="Insurance Claim"/>
    <x v="4"/>
    <s v="Under Treatment"/>
    <n v="2"/>
  </r>
  <r>
    <s v="P0687"/>
    <n v="43"/>
    <s v="Male"/>
    <s v="Cancer"/>
    <s v="Oncology"/>
    <s v="Dr. Priya"/>
    <d v="2024-03-05T00:00:00"/>
    <d v="2024-03-06T00:00:00"/>
    <n v="185761"/>
    <s v="None"/>
    <s v="Insurance Claim"/>
    <x v="4"/>
    <s v="Follow-up"/>
    <n v="1"/>
  </r>
  <r>
    <s v="P0688"/>
    <n v="55"/>
    <s v="Male"/>
    <s v="Orthopedic"/>
    <s v="Orthopedics"/>
    <s v="Dr. Kumar"/>
    <d v="2024-10-10T00:00:00"/>
    <d v="2024-10-24T00:00:00"/>
    <n v="58849"/>
    <s v="None"/>
    <s v="Card"/>
    <x v="2"/>
    <s v="Follow-up"/>
    <n v="3"/>
  </r>
  <r>
    <s v="P0689"/>
    <n v="50"/>
    <s v="Male"/>
    <s v="Orthopedic"/>
    <s v="Orthopedics"/>
    <s v="Dr. Raj"/>
    <d v="2024-02-05T00:00:00"/>
    <d v="2024-02-24T00:00:00"/>
    <n v="229349"/>
    <s v="None"/>
    <s v="UPI"/>
    <x v="2"/>
    <s v="Follow-up"/>
    <n v="5"/>
  </r>
  <r>
    <s v="P0690"/>
    <n v="32"/>
    <s v="Male"/>
    <s v="Infection"/>
    <s v="Neurology"/>
    <s v="Dr. Arun"/>
    <d v="2024-07-12T00:00:00"/>
    <d v="2024-07-14T00:00:00"/>
    <n v="77636"/>
    <s v="Corporate"/>
    <s v="UPI"/>
    <x v="2"/>
    <s v="Recovered"/>
    <n v="3"/>
  </r>
  <r>
    <s v="P0691"/>
    <n v="50"/>
    <s v="Male"/>
    <s v="Neurological"/>
    <s v="Orthopedics"/>
    <s v="Dr. Meena"/>
    <d v="2024-03-05T00:00:00"/>
    <d v="2024-03-16T00:00:00"/>
    <n v="249910"/>
    <s v="Government"/>
    <s v="UPI"/>
    <x v="1"/>
    <s v="Under Treatment"/>
    <n v="3"/>
  </r>
  <r>
    <s v="P0692"/>
    <n v="49"/>
    <s v="Female"/>
    <s v="Diabetes"/>
    <s v="Neurology"/>
    <s v="Dr. Kumar"/>
    <d v="2025-06-19T00:00:00"/>
    <d v="2025-07-07T00:00:00"/>
    <n v="76225"/>
    <s v="Private"/>
    <s v="Card"/>
    <x v="4"/>
    <s v="Under Treatment"/>
    <n v="1"/>
  </r>
  <r>
    <s v="P0693"/>
    <n v="30"/>
    <s v="Male"/>
    <s v="Neurological"/>
    <s v="Cardiology"/>
    <s v="Dr. Meena"/>
    <d v="2025-01-08T00:00:00"/>
    <d v="2025-01-22T00:00:00"/>
    <n v="111288"/>
    <s v="Private"/>
    <s v="UPI"/>
    <x v="4"/>
    <s v="Follow-up"/>
    <n v="4"/>
  </r>
  <r>
    <s v="P0694"/>
    <n v="76"/>
    <s v="Female"/>
    <s v="Neurological"/>
    <s v="Pulmonology"/>
    <s v="Dr. Arun"/>
    <d v="2025-02-24T00:00:00"/>
    <d v="2025-02-26T00:00:00"/>
    <n v="120883"/>
    <s v="Government"/>
    <s v="UPI"/>
    <x v="2"/>
    <s v="Under Treatment"/>
    <n v="3"/>
  </r>
  <r>
    <s v="P0695"/>
    <n v="61"/>
    <s v="Female"/>
    <s v="Cancer"/>
    <s v="Orthopedics"/>
    <s v="Dr. Arun"/>
    <d v="2025-02-22T00:00:00"/>
    <d v="2025-03-14T00:00:00"/>
    <n v="229973"/>
    <s v="Corporate"/>
    <s v="Card"/>
    <x v="4"/>
    <s v="Follow-up"/>
    <n v="4"/>
  </r>
  <r>
    <s v="P0696"/>
    <n v="53"/>
    <s v="Male"/>
    <s v="Respiratory"/>
    <s v="Neurology"/>
    <s v="Dr. Arun"/>
    <d v="2024-01-19T00:00:00"/>
    <d v="2024-02-05T00:00:00"/>
    <n v="196757"/>
    <s v="None"/>
    <s v="Insurance Claim"/>
    <x v="2"/>
    <s v="Follow-up"/>
    <n v="3"/>
  </r>
  <r>
    <s v="P0697"/>
    <n v="76"/>
    <s v="Male"/>
    <s v="Infection"/>
    <s v="Neurology"/>
    <s v="Dr. Kumar"/>
    <d v="2024-04-06T00:00:00"/>
    <d v="2024-04-26T00:00:00"/>
    <n v="59162"/>
    <s v="Corporate"/>
    <s v="Cash"/>
    <x v="4"/>
    <s v="Follow-up"/>
    <n v="4"/>
  </r>
  <r>
    <s v="P0698"/>
    <n v="35"/>
    <s v="Male"/>
    <s v="Respiratory"/>
    <s v="Oncology"/>
    <s v="Dr. Raj"/>
    <d v="2024-06-27T00:00:00"/>
    <d v="2024-07-08T00:00:00"/>
    <n v="94097"/>
    <s v="Government"/>
    <s v="Cash"/>
    <x v="4"/>
    <s v="Recovered"/>
    <n v="4"/>
  </r>
  <r>
    <s v="P0699"/>
    <n v="85"/>
    <s v="Female"/>
    <s v="Orthopedic"/>
    <s v="General Medicine"/>
    <s v="Dr. Meena"/>
    <d v="2025-10-23T00:00:00"/>
    <d v="2025-11-03T00:00:00"/>
    <n v="29240"/>
    <s v="Government"/>
    <s v="Insurance Claim"/>
    <x v="4"/>
    <s v="Recovered"/>
    <n v="2"/>
  </r>
  <r>
    <s v="P0700"/>
    <n v="65"/>
    <s v="Female"/>
    <s v="Respiratory"/>
    <s v="General Medicine"/>
    <s v="Dr. Meena"/>
    <d v="2024-02-19T00:00:00"/>
    <d v="2024-02-22T00:00:00"/>
    <n v="17536"/>
    <s v="Corporate"/>
    <s v="Card"/>
    <x v="4"/>
    <s v="Under Treatment"/>
    <n v="1"/>
  </r>
  <r>
    <s v="P0701"/>
    <n v="42"/>
    <s v="Female"/>
    <s v="Orthopedic"/>
    <s v="General Medicine"/>
    <s v="Dr. Priya"/>
    <d v="2025-11-06T00:00:00"/>
    <d v="2025-11-26T00:00:00"/>
    <n v="112192"/>
    <s v="Corporate"/>
    <s v="Insurance Claim"/>
    <x v="1"/>
    <s v="Follow-up"/>
    <n v="4"/>
  </r>
  <r>
    <s v="P0702"/>
    <n v="64"/>
    <s v="Female"/>
    <s v="Infection"/>
    <s v="Cardiology"/>
    <s v="Dr. Arun"/>
    <d v="2024-10-22T00:00:00"/>
    <d v="2024-10-30T00:00:00"/>
    <n v="138582"/>
    <s v="Government"/>
    <s v="Card"/>
    <x v="3"/>
    <s v="Under Treatment"/>
    <n v="2"/>
  </r>
  <r>
    <s v="P0703"/>
    <n v="82"/>
    <s v="Female"/>
    <s v="Diabetes"/>
    <s v="Orthopedics"/>
    <s v="Dr. Priya"/>
    <d v="2025-07-27T00:00:00"/>
    <d v="2025-08-09T00:00:00"/>
    <n v="149733"/>
    <s v="Corporate"/>
    <s v="Insurance Claim"/>
    <x v="1"/>
    <s v="Follow-up"/>
    <n v="5"/>
  </r>
  <r>
    <s v="P0704"/>
    <n v="22"/>
    <s v="Female"/>
    <s v="Infection"/>
    <s v="Neurology"/>
    <s v="Dr. Raj"/>
    <d v="2024-11-06T00:00:00"/>
    <d v="2024-11-18T00:00:00"/>
    <n v="248098"/>
    <s v="Corporate"/>
    <s v="UPI"/>
    <x v="3"/>
    <s v="Recovered"/>
    <n v="4"/>
  </r>
  <r>
    <s v="P0705"/>
    <n v="26"/>
    <s v="Male"/>
    <s v="Diabetes"/>
    <s v="Pulmonology"/>
    <s v="Dr. Meena"/>
    <d v="2025-07-18T00:00:00"/>
    <d v="2025-07-31T00:00:00"/>
    <n v="243307"/>
    <s v="Corporate"/>
    <s v="Cash"/>
    <x v="0"/>
    <s v="Recovered"/>
    <n v="1"/>
  </r>
  <r>
    <s v="P0706"/>
    <n v="52"/>
    <s v="Male"/>
    <s v="Cardiac"/>
    <s v="General Medicine"/>
    <s v="Dr. Raj"/>
    <d v="2024-05-27T00:00:00"/>
    <d v="2024-05-28T00:00:00"/>
    <n v="85964"/>
    <s v="None"/>
    <s v="Cash"/>
    <x v="3"/>
    <s v="Follow-up"/>
    <n v="4"/>
  </r>
  <r>
    <s v="P0707"/>
    <n v="28"/>
    <s v="Female"/>
    <s v="Cancer"/>
    <s v="Oncology"/>
    <s v="Dr. Arun"/>
    <d v="2025-04-20T00:00:00"/>
    <d v="2025-04-29T00:00:00"/>
    <n v="196593"/>
    <s v="Government"/>
    <s v="UPI"/>
    <x v="0"/>
    <s v="Follow-up"/>
    <n v="2"/>
  </r>
  <r>
    <s v="P0708"/>
    <n v="42"/>
    <s v="Male"/>
    <s v="Infection"/>
    <s v="Neurology"/>
    <s v="Dr. Kumar"/>
    <d v="2024-02-18T00:00:00"/>
    <d v="2024-03-05T00:00:00"/>
    <n v="110025"/>
    <s v="Corporate"/>
    <s v="Insurance Claim"/>
    <x v="3"/>
    <s v="Follow-up"/>
    <n v="5"/>
  </r>
  <r>
    <s v="P0709"/>
    <n v="53"/>
    <s v="Male"/>
    <s v="Diabetes"/>
    <s v="Neurology"/>
    <s v="Dr. Meena"/>
    <d v="2024-11-04T00:00:00"/>
    <d v="2024-11-17T00:00:00"/>
    <n v="126324"/>
    <s v="None"/>
    <s v="Cash"/>
    <x v="1"/>
    <s v="Recovered"/>
    <n v="4"/>
  </r>
  <r>
    <s v="P0710"/>
    <n v="33"/>
    <s v="Female"/>
    <s v="Orthopedic"/>
    <s v="Cardiology"/>
    <s v="Dr. Meena"/>
    <d v="2024-02-15T00:00:00"/>
    <d v="2024-02-29T00:00:00"/>
    <n v="233387"/>
    <s v="None"/>
    <s v="Card"/>
    <x v="1"/>
    <s v="Follow-up"/>
    <n v="2"/>
  </r>
  <r>
    <s v="P0711"/>
    <n v="19"/>
    <s v="Female"/>
    <s v="Respiratory"/>
    <s v="Oncology"/>
    <s v="Dr. Arun"/>
    <d v="2025-11-24T00:00:00"/>
    <d v="2025-11-26T00:00:00"/>
    <n v="164325"/>
    <s v="None"/>
    <s v="Card"/>
    <x v="2"/>
    <s v="Under Treatment"/>
    <n v="1"/>
  </r>
  <r>
    <s v="P0712"/>
    <n v="25"/>
    <s v="Male"/>
    <s v="Cardiac"/>
    <s v="Neurology"/>
    <s v="Dr. Raj"/>
    <d v="2025-09-16T00:00:00"/>
    <d v="2025-09-26T00:00:00"/>
    <n v="14146"/>
    <s v="Government"/>
    <s v="Card"/>
    <x v="0"/>
    <s v="Recovered"/>
    <n v="1"/>
  </r>
  <r>
    <s v="P0713"/>
    <n v="56"/>
    <s v="Female"/>
    <s v="Neurological"/>
    <s v="General Medicine"/>
    <s v="Dr. Raj"/>
    <d v="2024-05-08T00:00:00"/>
    <d v="2024-05-11T00:00:00"/>
    <n v="188013"/>
    <s v="None"/>
    <s v="Cash"/>
    <x v="3"/>
    <s v="Follow-up"/>
    <n v="3"/>
  </r>
  <r>
    <s v="P0714"/>
    <n v="27"/>
    <s v="Female"/>
    <s v="Neurological"/>
    <s v="Oncology"/>
    <s v="Dr. Arun"/>
    <d v="2025-07-27T00:00:00"/>
    <d v="2025-07-29T00:00:00"/>
    <n v="59538"/>
    <s v="Private"/>
    <s v="Card"/>
    <x v="2"/>
    <s v="Under Treatment"/>
    <n v="1"/>
  </r>
  <r>
    <s v="P0715"/>
    <n v="73"/>
    <s v="Female"/>
    <s v="Respiratory"/>
    <s v="Oncology"/>
    <s v="Dr. Kumar"/>
    <d v="2025-02-23T00:00:00"/>
    <d v="2025-03-14T00:00:00"/>
    <n v="157984"/>
    <s v="None"/>
    <s v="UPI"/>
    <x v="4"/>
    <s v="Recovered"/>
    <n v="5"/>
  </r>
  <r>
    <s v="P0716"/>
    <n v="38"/>
    <s v="Male"/>
    <s v="Neurological"/>
    <s v="Orthopedics"/>
    <s v="Dr. Meena"/>
    <d v="2024-11-28T00:00:00"/>
    <d v="2024-12-13T00:00:00"/>
    <n v="162502"/>
    <s v="Private"/>
    <s v="Cash"/>
    <x v="3"/>
    <s v="Follow-up"/>
    <n v="1"/>
  </r>
  <r>
    <s v="P0717"/>
    <n v="75"/>
    <s v="Male"/>
    <s v="Infection"/>
    <s v="Pulmonology"/>
    <s v="Dr. Meena"/>
    <d v="2025-07-14T00:00:00"/>
    <d v="2025-08-03T00:00:00"/>
    <n v="204631"/>
    <s v="Private"/>
    <s v="Insurance Claim"/>
    <x v="3"/>
    <s v="Under Treatment"/>
    <n v="5"/>
  </r>
  <r>
    <s v="P0718"/>
    <n v="57"/>
    <s v="Female"/>
    <s v="Respiratory"/>
    <s v="General Medicine"/>
    <s v="Dr. Meena"/>
    <d v="2024-04-15T00:00:00"/>
    <d v="2024-04-19T00:00:00"/>
    <n v="227621"/>
    <s v="Government"/>
    <s v="Card"/>
    <x v="4"/>
    <s v="Recovered"/>
    <n v="1"/>
  </r>
  <r>
    <s v="P0719"/>
    <n v="55"/>
    <s v="Male"/>
    <s v="Cardiac"/>
    <s v="General Medicine"/>
    <s v="Dr. Kumar"/>
    <d v="2025-06-16T00:00:00"/>
    <d v="2025-06-27T00:00:00"/>
    <n v="62971"/>
    <s v="Private"/>
    <s v="Cash"/>
    <x v="0"/>
    <s v="Recovered"/>
    <n v="4"/>
  </r>
  <r>
    <s v="P0720"/>
    <n v="24"/>
    <s v="Female"/>
    <s v="Cancer"/>
    <s v="Pulmonology"/>
    <s v="Dr. Raj"/>
    <d v="2024-01-15T00:00:00"/>
    <d v="2024-02-03T00:00:00"/>
    <n v="123284"/>
    <s v="Government"/>
    <s v="UPI"/>
    <x v="1"/>
    <s v="Recovered"/>
    <n v="2"/>
  </r>
  <r>
    <s v="P0721"/>
    <n v="82"/>
    <s v="Male"/>
    <s v="Neurological"/>
    <s v="General Medicine"/>
    <s v="Dr. Raj"/>
    <d v="2024-05-19T00:00:00"/>
    <d v="2024-05-22T00:00:00"/>
    <n v="16213"/>
    <s v="Government"/>
    <s v="Cash"/>
    <x v="2"/>
    <s v="Follow-up"/>
    <n v="4"/>
  </r>
  <r>
    <s v="P0722"/>
    <n v="63"/>
    <s v="Male"/>
    <s v="Neurological"/>
    <s v="Neurology"/>
    <s v="Dr. Meena"/>
    <d v="2025-04-18T00:00:00"/>
    <d v="2025-04-19T00:00:00"/>
    <n v="11795"/>
    <s v="None"/>
    <s v="UPI"/>
    <x v="4"/>
    <s v="Recovered"/>
    <n v="1"/>
  </r>
  <r>
    <s v="P0723"/>
    <n v="77"/>
    <s v="Female"/>
    <s v="Infection"/>
    <s v="Cardiology"/>
    <s v="Dr. Meena"/>
    <d v="2025-03-24T00:00:00"/>
    <d v="2025-04-09T00:00:00"/>
    <n v="87429"/>
    <s v="Private"/>
    <s v="Card"/>
    <x v="0"/>
    <s v="Recovered"/>
    <n v="2"/>
  </r>
  <r>
    <s v="P0724"/>
    <n v="29"/>
    <s v="Female"/>
    <s v="Infection"/>
    <s v="Neurology"/>
    <s v="Dr. Meena"/>
    <d v="2025-02-20T00:00:00"/>
    <d v="2025-03-09T00:00:00"/>
    <n v="46799"/>
    <s v="Government"/>
    <s v="UPI"/>
    <x v="3"/>
    <s v="Under Treatment"/>
    <n v="2"/>
  </r>
  <r>
    <s v="P0725"/>
    <n v="38"/>
    <s v="Male"/>
    <s v="Cancer"/>
    <s v="Oncology"/>
    <s v="Dr. Raj"/>
    <d v="2024-06-24T00:00:00"/>
    <d v="2024-07-05T00:00:00"/>
    <n v="125952"/>
    <s v="Corporate"/>
    <s v="Cash"/>
    <x v="0"/>
    <s v="Under Treatment"/>
    <n v="5"/>
  </r>
  <r>
    <s v="P0726"/>
    <n v="85"/>
    <s v="Female"/>
    <s v="Respiratory"/>
    <s v="Pulmonology"/>
    <s v="Dr. Priya"/>
    <d v="2025-10-01T00:00:00"/>
    <d v="2025-10-08T00:00:00"/>
    <n v="164053"/>
    <s v="Government"/>
    <s v="UPI"/>
    <x v="2"/>
    <s v="Recovered"/>
    <n v="1"/>
  </r>
  <r>
    <s v="P0727"/>
    <n v="53"/>
    <s v="Female"/>
    <s v="Orthopedic"/>
    <s v="Pulmonology"/>
    <s v="Dr. Meena"/>
    <d v="2025-06-05T00:00:00"/>
    <d v="2025-06-25T00:00:00"/>
    <n v="248229"/>
    <s v="Government"/>
    <s v="Insurance Claim"/>
    <x v="0"/>
    <s v="Under Treatment"/>
    <n v="4"/>
  </r>
  <r>
    <s v="P0728"/>
    <n v="78"/>
    <s v="Male"/>
    <s v="Orthopedic"/>
    <s v="Cardiology"/>
    <s v="Dr. Priya"/>
    <d v="2025-08-11T00:00:00"/>
    <d v="2025-08-28T00:00:00"/>
    <n v="65287"/>
    <s v="Government"/>
    <s v="UPI"/>
    <x v="2"/>
    <s v="Under Treatment"/>
    <n v="4"/>
  </r>
  <r>
    <s v="P0729"/>
    <n v="23"/>
    <s v="Female"/>
    <s v="Neurological"/>
    <s v="Cardiology"/>
    <s v="Dr. Raj"/>
    <d v="2024-03-15T00:00:00"/>
    <d v="2024-03-16T00:00:00"/>
    <n v="111518"/>
    <s v="Private"/>
    <s v="Insurance Claim"/>
    <x v="3"/>
    <s v="Follow-up"/>
    <n v="1"/>
  </r>
  <r>
    <s v="P0730"/>
    <n v="85"/>
    <s v="Male"/>
    <s v="Orthopedic"/>
    <s v="Cardiology"/>
    <s v="Dr. Priya"/>
    <d v="2025-07-22T00:00:00"/>
    <d v="2025-08-06T00:00:00"/>
    <n v="186032"/>
    <s v="Corporate"/>
    <s v="UPI"/>
    <x v="3"/>
    <s v="Recovered"/>
    <n v="3"/>
  </r>
  <r>
    <s v="P0731"/>
    <n v="56"/>
    <s v="Male"/>
    <s v="Neurological"/>
    <s v="Orthopedics"/>
    <s v="Dr. Arun"/>
    <d v="2024-10-29T00:00:00"/>
    <d v="2024-11-17T00:00:00"/>
    <n v="133348"/>
    <s v="Private"/>
    <s v="UPI"/>
    <x v="0"/>
    <s v="Under Treatment"/>
    <n v="4"/>
  </r>
  <r>
    <s v="P0732"/>
    <n v="52"/>
    <s v="Male"/>
    <s v="Cardiac"/>
    <s v="Neurology"/>
    <s v="Dr. Raj"/>
    <d v="2025-08-11T00:00:00"/>
    <d v="2025-08-31T00:00:00"/>
    <n v="166943"/>
    <s v="Corporate"/>
    <s v="Cash"/>
    <x v="2"/>
    <s v="Recovered"/>
    <n v="1"/>
  </r>
  <r>
    <s v="P0733"/>
    <n v="82"/>
    <s v="Female"/>
    <s v="Neurological"/>
    <s v="Orthopedics"/>
    <s v="Dr. Priya"/>
    <d v="2024-08-03T00:00:00"/>
    <d v="2024-08-18T00:00:00"/>
    <n v="33032"/>
    <s v="None"/>
    <s v="Insurance Claim"/>
    <x v="2"/>
    <s v="Follow-up"/>
    <n v="3"/>
  </r>
  <r>
    <s v="P0734"/>
    <n v="68"/>
    <s v="Female"/>
    <s v="Respiratory"/>
    <s v="Orthopedics"/>
    <s v="Dr. Kumar"/>
    <d v="2025-02-13T00:00:00"/>
    <d v="2025-02-26T00:00:00"/>
    <n v="168965"/>
    <s v="Private"/>
    <s v="UPI"/>
    <x v="0"/>
    <s v="Recovered"/>
    <n v="2"/>
  </r>
  <r>
    <s v="P0735"/>
    <n v="30"/>
    <s v="Female"/>
    <s v="Infection"/>
    <s v="Oncology"/>
    <s v="Dr. Raj"/>
    <d v="2024-02-06T00:00:00"/>
    <d v="2024-02-17T00:00:00"/>
    <n v="220461"/>
    <s v="None"/>
    <s v="Cash"/>
    <x v="3"/>
    <s v="Under Treatment"/>
    <n v="5"/>
  </r>
  <r>
    <s v="P0736"/>
    <n v="36"/>
    <s v="Male"/>
    <s v="Neurological"/>
    <s v="Oncology"/>
    <s v="Dr. Arun"/>
    <d v="2024-01-04T00:00:00"/>
    <d v="2024-01-08T00:00:00"/>
    <n v="210359"/>
    <s v="Government"/>
    <s v="UPI"/>
    <x v="1"/>
    <s v="Under Treatment"/>
    <n v="3"/>
  </r>
  <r>
    <s v="P0737"/>
    <n v="35"/>
    <s v="Female"/>
    <s v="Diabetes"/>
    <s v="Cardiology"/>
    <s v="Dr. Kumar"/>
    <d v="2024-10-04T00:00:00"/>
    <d v="2024-10-13T00:00:00"/>
    <n v="242983"/>
    <s v="None"/>
    <s v="Card"/>
    <x v="0"/>
    <s v="Under Treatment"/>
    <n v="2"/>
  </r>
  <r>
    <s v="P0738"/>
    <n v="34"/>
    <s v="Female"/>
    <s v="Respiratory"/>
    <s v="General Medicine"/>
    <s v="Dr. Priya"/>
    <d v="2025-11-20T00:00:00"/>
    <d v="2025-11-23T00:00:00"/>
    <n v="199528"/>
    <s v="None"/>
    <s v="Cash"/>
    <x v="2"/>
    <s v="Under Treatment"/>
    <n v="5"/>
  </r>
  <r>
    <s v="P0739"/>
    <n v="50"/>
    <s v="Female"/>
    <s v="Diabetes"/>
    <s v="Neurology"/>
    <s v="Dr. Kumar"/>
    <d v="2024-10-01T00:00:00"/>
    <d v="2024-10-04T00:00:00"/>
    <n v="52154"/>
    <s v="Private"/>
    <s v="Cash"/>
    <x v="1"/>
    <s v="Under Treatment"/>
    <n v="2"/>
  </r>
  <r>
    <s v="P0740"/>
    <n v="42"/>
    <s v="Male"/>
    <s v="Diabetes"/>
    <s v="Orthopedics"/>
    <s v="Dr. Arun"/>
    <d v="2025-01-05T00:00:00"/>
    <d v="2025-01-24T00:00:00"/>
    <n v="160734"/>
    <s v="Private"/>
    <s v="UPI"/>
    <x v="0"/>
    <s v="Follow-up"/>
    <n v="4"/>
  </r>
  <r>
    <s v="P0741"/>
    <n v="47"/>
    <s v="Female"/>
    <s v="Neurological"/>
    <s v="Pulmonology"/>
    <s v="Dr. Kumar"/>
    <d v="2024-12-18T00:00:00"/>
    <d v="2024-12-20T00:00:00"/>
    <n v="230317"/>
    <s v="Private"/>
    <s v="Insurance Claim"/>
    <x v="4"/>
    <s v="Recovered"/>
    <n v="5"/>
  </r>
  <r>
    <s v="P0742"/>
    <n v="50"/>
    <s v="Female"/>
    <s v="Respiratory"/>
    <s v="General Medicine"/>
    <s v="Dr. Arun"/>
    <d v="2024-02-09T00:00:00"/>
    <d v="2024-02-17T00:00:00"/>
    <n v="207367"/>
    <s v="Private"/>
    <s v="Card"/>
    <x v="3"/>
    <s v="Follow-up"/>
    <n v="4"/>
  </r>
  <r>
    <s v="P0743"/>
    <n v="47"/>
    <s v="Male"/>
    <s v="Cardiac"/>
    <s v="Oncology"/>
    <s v="Dr. Kumar"/>
    <d v="2025-09-04T00:00:00"/>
    <d v="2025-09-21T00:00:00"/>
    <n v="151594"/>
    <s v="None"/>
    <s v="Cash"/>
    <x v="2"/>
    <s v="Recovered"/>
    <n v="2"/>
  </r>
  <r>
    <s v="P0744"/>
    <n v="53"/>
    <s v="Female"/>
    <s v="Diabetes"/>
    <s v="Neurology"/>
    <s v="Dr. Meena"/>
    <d v="2025-01-15T00:00:00"/>
    <d v="2025-01-24T00:00:00"/>
    <n v="41483"/>
    <s v="None"/>
    <s v="Cash"/>
    <x v="3"/>
    <s v="Under Treatment"/>
    <n v="5"/>
  </r>
  <r>
    <s v="P0745"/>
    <n v="40"/>
    <s v="Male"/>
    <s v="Respiratory"/>
    <s v="Oncology"/>
    <s v="Dr. Meena"/>
    <d v="2025-03-03T00:00:00"/>
    <d v="2025-03-17T00:00:00"/>
    <n v="91173"/>
    <s v="Corporate"/>
    <s v="Card"/>
    <x v="2"/>
    <s v="Under Treatment"/>
    <n v="3"/>
  </r>
  <r>
    <s v="P0746"/>
    <n v="46"/>
    <s v="Male"/>
    <s v="Cardiac"/>
    <s v="Oncology"/>
    <s v="Dr. Priya"/>
    <d v="2024-09-03T00:00:00"/>
    <d v="2024-09-06T00:00:00"/>
    <n v="204147"/>
    <s v="Private"/>
    <s v="Cash"/>
    <x v="4"/>
    <s v="Under Treatment"/>
    <n v="4"/>
  </r>
  <r>
    <s v="P0747"/>
    <n v="45"/>
    <s v="Male"/>
    <s v="Cancer"/>
    <s v="General Medicine"/>
    <s v="Dr. Raj"/>
    <d v="2025-07-02T00:00:00"/>
    <d v="2025-07-05T00:00:00"/>
    <n v="129953"/>
    <s v="None"/>
    <s v="Card"/>
    <x v="1"/>
    <s v="Recovered"/>
    <n v="5"/>
  </r>
  <r>
    <s v="P0748"/>
    <n v="46"/>
    <s v="Male"/>
    <s v="Diabetes"/>
    <s v="Cardiology"/>
    <s v="Dr. Kumar"/>
    <d v="2025-08-04T00:00:00"/>
    <d v="2025-08-10T00:00:00"/>
    <n v="200863"/>
    <s v="None"/>
    <s v="Cash"/>
    <x v="0"/>
    <s v="Under Treatment"/>
    <n v="4"/>
  </r>
  <r>
    <s v="P0749"/>
    <n v="38"/>
    <s v="Male"/>
    <s v="Cardiac"/>
    <s v="Oncology"/>
    <s v="Dr. Raj"/>
    <d v="2025-07-26T00:00:00"/>
    <d v="2025-08-09T00:00:00"/>
    <n v="165974"/>
    <s v="Corporate"/>
    <s v="Card"/>
    <x v="4"/>
    <s v="Follow-up"/>
    <n v="4"/>
  </r>
  <r>
    <s v="P0750"/>
    <n v="82"/>
    <s v="Female"/>
    <s v="Cancer"/>
    <s v="Neurology"/>
    <s v="Dr. Kumar"/>
    <d v="2025-10-13T00:00:00"/>
    <d v="2025-10-27T00:00:00"/>
    <n v="163166"/>
    <s v="Government"/>
    <s v="Card"/>
    <x v="1"/>
    <s v="Recovered"/>
    <n v="3"/>
  </r>
  <r>
    <s v="P0751"/>
    <n v="27"/>
    <s v="Male"/>
    <s v="Cardiac"/>
    <s v="Orthopedics"/>
    <s v="Dr. Raj"/>
    <d v="2025-09-30T00:00:00"/>
    <d v="2025-10-12T00:00:00"/>
    <n v="55544"/>
    <s v="Corporate"/>
    <s v="Cash"/>
    <x v="0"/>
    <s v="Under Treatment"/>
    <n v="2"/>
  </r>
  <r>
    <s v="P0752"/>
    <n v="81"/>
    <s v="Male"/>
    <s v="Cardiac"/>
    <s v="Orthopedics"/>
    <s v="Dr. Arun"/>
    <d v="2024-02-21T00:00:00"/>
    <d v="2024-03-05T00:00:00"/>
    <n v="64997"/>
    <s v="None"/>
    <s v="Cash"/>
    <x v="2"/>
    <s v="Recovered"/>
    <n v="2"/>
  </r>
  <r>
    <s v="P0753"/>
    <n v="62"/>
    <s v="Male"/>
    <s v="Cancer"/>
    <s v="Neurology"/>
    <s v="Dr. Kumar"/>
    <d v="2025-04-16T00:00:00"/>
    <d v="2025-04-26T00:00:00"/>
    <n v="143188"/>
    <s v="Corporate"/>
    <s v="Insurance Claim"/>
    <x v="1"/>
    <s v="Follow-up"/>
    <n v="1"/>
  </r>
  <r>
    <s v="P0754"/>
    <n v="71"/>
    <s v="Male"/>
    <s v="Orthopedic"/>
    <s v="Oncology"/>
    <s v="Dr. Priya"/>
    <d v="2024-09-25T00:00:00"/>
    <d v="2024-10-14T00:00:00"/>
    <n v="192267"/>
    <s v="Private"/>
    <s v="Cash"/>
    <x v="1"/>
    <s v="Follow-up"/>
    <n v="2"/>
  </r>
  <r>
    <s v="P0755"/>
    <n v="57"/>
    <s v="Male"/>
    <s v="Cardiac"/>
    <s v="Pulmonology"/>
    <s v="Dr. Arun"/>
    <d v="2024-08-08T00:00:00"/>
    <d v="2024-08-10T00:00:00"/>
    <n v="199818"/>
    <s v="Government"/>
    <s v="Cash"/>
    <x v="4"/>
    <s v="Under Treatment"/>
    <n v="4"/>
  </r>
  <r>
    <s v="P0756"/>
    <n v="80"/>
    <s v="Female"/>
    <s v="Orthopedic"/>
    <s v="Neurology"/>
    <s v="Dr. Meena"/>
    <d v="2024-03-23T00:00:00"/>
    <d v="2024-03-31T00:00:00"/>
    <n v="48641"/>
    <s v="Corporate"/>
    <s v="Insurance Claim"/>
    <x v="1"/>
    <s v="Follow-up"/>
    <n v="2"/>
  </r>
  <r>
    <s v="P0757"/>
    <n v="23"/>
    <s v="Male"/>
    <s v="Cardiac"/>
    <s v="Neurology"/>
    <s v="Dr. Meena"/>
    <d v="2025-01-27T00:00:00"/>
    <d v="2025-02-16T00:00:00"/>
    <n v="127831"/>
    <s v="Private"/>
    <s v="Cash"/>
    <x v="1"/>
    <s v="Follow-up"/>
    <n v="1"/>
  </r>
  <r>
    <s v="P0758"/>
    <n v="31"/>
    <s v="Female"/>
    <s v="Neurological"/>
    <s v="Orthopedics"/>
    <s v="Dr. Priya"/>
    <d v="2025-08-22T00:00:00"/>
    <d v="2025-09-02T00:00:00"/>
    <n v="174278"/>
    <s v="None"/>
    <s v="Cash"/>
    <x v="0"/>
    <s v="Recovered"/>
    <n v="5"/>
  </r>
  <r>
    <s v="P0759"/>
    <n v="69"/>
    <s v="Female"/>
    <s v="Orthopedic"/>
    <s v="Pulmonology"/>
    <s v="Dr. Priya"/>
    <d v="2025-04-02T00:00:00"/>
    <d v="2025-04-08T00:00:00"/>
    <n v="39361"/>
    <s v="None"/>
    <s v="Insurance Claim"/>
    <x v="4"/>
    <s v="Under Treatment"/>
    <n v="5"/>
  </r>
  <r>
    <s v="P0760"/>
    <n v="66"/>
    <s v="Female"/>
    <s v="Respiratory"/>
    <s v="Pulmonology"/>
    <s v="Dr. Priya"/>
    <d v="2025-10-14T00:00:00"/>
    <d v="2025-11-03T00:00:00"/>
    <n v="145685"/>
    <s v="Government"/>
    <s v="UPI"/>
    <x v="2"/>
    <s v="Recovered"/>
    <n v="4"/>
  </r>
  <r>
    <s v="P0761"/>
    <n v="47"/>
    <s v="Male"/>
    <s v="Infection"/>
    <s v="Pulmonology"/>
    <s v="Dr. Kumar"/>
    <d v="2025-07-13T00:00:00"/>
    <d v="2025-07-16T00:00:00"/>
    <n v="237160"/>
    <s v="Corporate"/>
    <s v="Insurance Claim"/>
    <x v="1"/>
    <s v="Follow-up"/>
    <n v="2"/>
  </r>
  <r>
    <s v="P0762"/>
    <n v="38"/>
    <s v="Female"/>
    <s v="Cancer"/>
    <s v="Cardiology"/>
    <s v="Dr. Priya"/>
    <d v="2024-06-29T00:00:00"/>
    <d v="2024-07-15T00:00:00"/>
    <n v="56705"/>
    <s v="Government"/>
    <s v="Cash"/>
    <x v="1"/>
    <s v="Follow-up"/>
    <n v="2"/>
  </r>
  <r>
    <s v="P0763"/>
    <n v="45"/>
    <s v="Male"/>
    <s v="Neurological"/>
    <s v="Oncology"/>
    <s v="Dr. Arun"/>
    <d v="2024-07-01T00:00:00"/>
    <d v="2024-07-21T00:00:00"/>
    <n v="171434"/>
    <s v="Corporate"/>
    <s v="Card"/>
    <x v="0"/>
    <s v="Under Treatment"/>
    <n v="5"/>
  </r>
  <r>
    <s v="P0764"/>
    <n v="74"/>
    <s v="Female"/>
    <s v="Cancer"/>
    <s v="General Medicine"/>
    <s v="Dr. Priya"/>
    <d v="2025-06-14T00:00:00"/>
    <d v="2025-07-02T00:00:00"/>
    <n v="215324"/>
    <s v="Private"/>
    <s v="Card"/>
    <x v="2"/>
    <s v="Follow-up"/>
    <n v="4"/>
  </r>
  <r>
    <s v="P0765"/>
    <n v="75"/>
    <s v="Male"/>
    <s v="Diabetes"/>
    <s v="Cardiology"/>
    <s v="Dr. Raj"/>
    <d v="2024-08-25T00:00:00"/>
    <d v="2024-09-08T00:00:00"/>
    <n v="184715"/>
    <s v="Corporate"/>
    <s v="Card"/>
    <x v="4"/>
    <s v="Follow-up"/>
    <n v="1"/>
  </r>
  <r>
    <s v="P0766"/>
    <n v="43"/>
    <s v="Male"/>
    <s v="Neurological"/>
    <s v="Oncology"/>
    <s v="Dr. Arun"/>
    <d v="2025-03-07T00:00:00"/>
    <d v="2025-03-18T00:00:00"/>
    <n v="56753"/>
    <s v="None"/>
    <s v="Card"/>
    <x v="4"/>
    <s v="Follow-up"/>
    <n v="1"/>
  </r>
  <r>
    <s v="P0767"/>
    <n v="82"/>
    <s v="Male"/>
    <s v="Respiratory"/>
    <s v="General Medicine"/>
    <s v="Dr. Arun"/>
    <d v="2025-04-26T00:00:00"/>
    <d v="2025-05-04T00:00:00"/>
    <n v="143513"/>
    <s v="Corporate"/>
    <s v="Insurance Claim"/>
    <x v="1"/>
    <s v="Recovered"/>
    <n v="1"/>
  </r>
  <r>
    <s v="P0768"/>
    <n v="80"/>
    <s v="Female"/>
    <s v="Cancer"/>
    <s v="Orthopedics"/>
    <s v="Dr. Raj"/>
    <d v="2024-02-05T00:00:00"/>
    <d v="2024-02-16T00:00:00"/>
    <n v="20996"/>
    <s v="Government"/>
    <s v="Cash"/>
    <x v="4"/>
    <s v="Follow-up"/>
    <n v="1"/>
  </r>
  <r>
    <s v="P0769"/>
    <n v="74"/>
    <s v="Male"/>
    <s v="Cancer"/>
    <s v="Pulmonology"/>
    <s v="Dr. Kumar"/>
    <d v="2025-10-10T00:00:00"/>
    <d v="2025-10-22T00:00:00"/>
    <n v="105797"/>
    <s v="Corporate"/>
    <s v="Card"/>
    <x v="2"/>
    <s v="Recovered"/>
    <n v="2"/>
  </r>
  <r>
    <s v="P0770"/>
    <n v="83"/>
    <s v="Male"/>
    <s v="Neurological"/>
    <s v="Pulmonology"/>
    <s v="Dr. Kumar"/>
    <d v="2024-11-04T00:00:00"/>
    <d v="2024-11-14T00:00:00"/>
    <n v="31164"/>
    <s v="None"/>
    <s v="UPI"/>
    <x v="2"/>
    <s v="Under Treatment"/>
    <n v="2"/>
  </r>
  <r>
    <s v="P0771"/>
    <n v="63"/>
    <s v="Female"/>
    <s v="Diabetes"/>
    <s v="General Medicine"/>
    <s v="Dr. Kumar"/>
    <d v="2024-01-12T00:00:00"/>
    <d v="2024-01-26T00:00:00"/>
    <n v="200861"/>
    <s v="Government"/>
    <s v="Cash"/>
    <x v="2"/>
    <s v="Follow-up"/>
    <n v="2"/>
  </r>
  <r>
    <s v="P0772"/>
    <n v="48"/>
    <s v="Male"/>
    <s v="Cardiac"/>
    <s v="Oncology"/>
    <s v="Dr. Meena"/>
    <d v="2025-04-23T00:00:00"/>
    <d v="2025-04-30T00:00:00"/>
    <n v="64534"/>
    <s v="Government"/>
    <s v="Cash"/>
    <x v="0"/>
    <s v="Follow-up"/>
    <n v="5"/>
  </r>
  <r>
    <s v="P0773"/>
    <n v="32"/>
    <s v="Male"/>
    <s v="Cancer"/>
    <s v="Oncology"/>
    <s v="Dr. Priya"/>
    <d v="2025-01-13T00:00:00"/>
    <d v="2025-01-18T00:00:00"/>
    <n v="228621"/>
    <s v="Corporate"/>
    <s v="Insurance Claim"/>
    <x v="0"/>
    <s v="Follow-up"/>
    <n v="5"/>
  </r>
  <r>
    <s v="P0774"/>
    <n v="43"/>
    <s v="Male"/>
    <s v="Diabetes"/>
    <s v="Oncology"/>
    <s v="Dr. Meena"/>
    <d v="2025-08-23T00:00:00"/>
    <d v="2025-08-28T00:00:00"/>
    <n v="5466"/>
    <s v="None"/>
    <s v="Card"/>
    <x v="3"/>
    <s v="Under Treatment"/>
    <n v="3"/>
  </r>
  <r>
    <s v="P0775"/>
    <n v="78"/>
    <s v="Male"/>
    <s v="Cancer"/>
    <s v="General Medicine"/>
    <s v="Dr. Kumar"/>
    <d v="2024-05-22T00:00:00"/>
    <d v="2024-05-25T00:00:00"/>
    <n v="11285"/>
    <s v="Corporate"/>
    <s v="UPI"/>
    <x v="3"/>
    <s v="Recovered"/>
    <n v="5"/>
  </r>
  <r>
    <s v="P0776"/>
    <n v="22"/>
    <s v="Female"/>
    <s v="Cardiac"/>
    <s v="Pulmonology"/>
    <s v="Dr. Meena"/>
    <d v="2024-06-15T00:00:00"/>
    <d v="2024-06-19T00:00:00"/>
    <n v="89111"/>
    <s v="Private"/>
    <s v="Insurance Claim"/>
    <x v="4"/>
    <s v="Recovered"/>
    <n v="2"/>
  </r>
  <r>
    <s v="P0777"/>
    <n v="57"/>
    <s v="Female"/>
    <s v="Cardiac"/>
    <s v="Cardiology"/>
    <s v="Dr. Meena"/>
    <d v="2024-06-23T00:00:00"/>
    <d v="2024-06-29T00:00:00"/>
    <n v="72602"/>
    <s v="Corporate"/>
    <s v="Cash"/>
    <x v="1"/>
    <s v="Recovered"/>
    <n v="2"/>
  </r>
  <r>
    <s v="P0778"/>
    <n v="44"/>
    <s v="Male"/>
    <s v="Infection"/>
    <s v="Neurology"/>
    <s v="Dr. Priya"/>
    <d v="2024-02-23T00:00:00"/>
    <d v="2024-02-25T00:00:00"/>
    <n v="80847"/>
    <s v="Corporate"/>
    <s v="Card"/>
    <x v="0"/>
    <s v="Follow-up"/>
    <n v="3"/>
  </r>
  <r>
    <s v="P0779"/>
    <n v="33"/>
    <s v="Male"/>
    <s v="Respiratory"/>
    <s v="Orthopedics"/>
    <s v="Dr. Kumar"/>
    <d v="2025-02-11T00:00:00"/>
    <d v="2025-02-26T00:00:00"/>
    <n v="42913"/>
    <s v="Corporate"/>
    <s v="Cash"/>
    <x v="1"/>
    <s v="Follow-up"/>
    <n v="2"/>
  </r>
  <r>
    <s v="P0780"/>
    <n v="40"/>
    <s v="Male"/>
    <s v="Neurological"/>
    <s v="Pulmonology"/>
    <s v="Dr. Priya"/>
    <d v="2024-12-22T00:00:00"/>
    <d v="2025-01-08T00:00:00"/>
    <n v="35790"/>
    <s v="Government"/>
    <s v="Cash"/>
    <x v="2"/>
    <s v="Recovered"/>
    <n v="2"/>
  </r>
  <r>
    <s v="P0781"/>
    <n v="29"/>
    <s v="Male"/>
    <s v="Cancer"/>
    <s v="Oncology"/>
    <s v="Dr. Arun"/>
    <d v="2025-11-30T00:00:00"/>
    <d v="2025-12-05T00:00:00"/>
    <n v="34814"/>
    <s v="None"/>
    <s v="Insurance Claim"/>
    <x v="4"/>
    <s v="Under Treatment"/>
    <n v="2"/>
  </r>
  <r>
    <s v="P0782"/>
    <n v="45"/>
    <s v="Male"/>
    <s v="Orthopedic"/>
    <s v="Cardiology"/>
    <s v="Dr. Priya"/>
    <d v="2024-06-11T00:00:00"/>
    <d v="2024-06-16T00:00:00"/>
    <n v="113820"/>
    <s v="Private"/>
    <s v="UPI"/>
    <x v="1"/>
    <s v="Under Treatment"/>
    <n v="5"/>
  </r>
  <r>
    <s v="P0783"/>
    <n v="21"/>
    <s v="Female"/>
    <s v="Infection"/>
    <s v="Cardiology"/>
    <s v="Dr. Arun"/>
    <d v="2025-03-07T00:00:00"/>
    <d v="2025-03-16T00:00:00"/>
    <n v="224247"/>
    <s v="Corporate"/>
    <s v="Insurance Claim"/>
    <x v="2"/>
    <s v="Recovered"/>
    <n v="3"/>
  </r>
  <r>
    <s v="P0784"/>
    <n v="74"/>
    <s v="Male"/>
    <s v="Cancer"/>
    <s v="Orthopedics"/>
    <s v="Dr. Raj"/>
    <d v="2025-06-06T00:00:00"/>
    <d v="2025-06-09T00:00:00"/>
    <n v="111695"/>
    <s v="Private"/>
    <s v="Insurance Claim"/>
    <x v="4"/>
    <s v="Recovered"/>
    <n v="5"/>
  </r>
  <r>
    <s v="P0785"/>
    <n v="80"/>
    <s v="Female"/>
    <s v="Diabetes"/>
    <s v="Cardiology"/>
    <s v="Dr. Priya"/>
    <d v="2024-11-09T00:00:00"/>
    <d v="2024-11-20T00:00:00"/>
    <n v="108276"/>
    <s v="None"/>
    <s v="Card"/>
    <x v="4"/>
    <s v="Recovered"/>
    <n v="1"/>
  </r>
  <r>
    <s v="P0786"/>
    <n v="82"/>
    <s v="Female"/>
    <s v="Neurological"/>
    <s v="Neurology"/>
    <s v="Dr. Meena"/>
    <d v="2025-11-12T00:00:00"/>
    <d v="2025-11-14T00:00:00"/>
    <n v="156110"/>
    <s v="None"/>
    <s v="Insurance Claim"/>
    <x v="0"/>
    <s v="Follow-up"/>
    <n v="1"/>
  </r>
  <r>
    <s v="P0787"/>
    <n v="74"/>
    <s v="Female"/>
    <s v="Orthopedic"/>
    <s v="Orthopedics"/>
    <s v="Dr. Priya"/>
    <d v="2025-12-20T00:00:00"/>
    <d v="2026-01-06T00:00:00"/>
    <n v="40597"/>
    <s v="Private"/>
    <s v="Card"/>
    <x v="1"/>
    <s v="Under Treatment"/>
    <n v="4"/>
  </r>
  <r>
    <s v="P0788"/>
    <n v="67"/>
    <s v="Female"/>
    <s v="Orthopedic"/>
    <s v="Neurology"/>
    <s v="Dr. Arun"/>
    <d v="2025-12-05T00:00:00"/>
    <d v="2025-12-18T00:00:00"/>
    <n v="94830"/>
    <s v="Private"/>
    <s v="Insurance Claim"/>
    <x v="1"/>
    <s v="Follow-up"/>
    <n v="5"/>
  </r>
  <r>
    <s v="P0789"/>
    <n v="33"/>
    <s v="Male"/>
    <s v="Cancer"/>
    <s v="General Medicine"/>
    <s v="Dr. Kumar"/>
    <d v="2025-10-08T00:00:00"/>
    <d v="2025-10-24T00:00:00"/>
    <n v="113156"/>
    <s v="None"/>
    <s v="Insurance Claim"/>
    <x v="4"/>
    <s v="Recovered"/>
    <n v="4"/>
  </r>
  <r>
    <s v="P0790"/>
    <n v="66"/>
    <s v="Male"/>
    <s v="Infection"/>
    <s v="General Medicine"/>
    <s v="Dr. Kumar"/>
    <d v="2025-04-27T00:00:00"/>
    <d v="2025-05-03T00:00:00"/>
    <n v="176860"/>
    <s v="None"/>
    <s v="UPI"/>
    <x v="4"/>
    <s v="Recovered"/>
    <n v="2"/>
  </r>
  <r>
    <s v="P0791"/>
    <n v="39"/>
    <s v="Male"/>
    <s v="Neurological"/>
    <s v="General Medicine"/>
    <s v="Dr. Kumar"/>
    <d v="2024-09-10T00:00:00"/>
    <d v="2024-09-14T00:00:00"/>
    <n v="56977"/>
    <s v="Private"/>
    <s v="Card"/>
    <x v="4"/>
    <s v="Recovered"/>
    <n v="2"/>
  </r>
  <r>
    <s v="P0792"/>
    <n v="24"/>
    <s v="Female"/>
    <s v="Neurological"/>
    <s v="General Medicine"/>
    <s v="Dr. Meena"/>
    <d v="2025-03-30T00:00:00"/>
    <d v="2025-04-01T00:00:00"/>
    <n v="10661"/>
    <s v="Private"/>
    <s v="Cash"/>
    <x v="3"/>
    <s v="Follow-up"/>
    <n v="2"/>
  </r>
  <r>
    <s v="P0793"/>
    <n v="43"/>
    <s v="Female"/>
    <s v="Cancer"/>
    <s v="Cardiology"/>
    <s v="Dr. Meena"/>
    <d v="2025-06-06T00:00:00"/>
    <d v="2025-06-20T00:00:00"/>
    <n v="72325"/>
    <s v="Corporate"/>
    <s v="UPI"/>
    <x v="1"/>
    <s v="Under Treatment"/>
    <n v="5"/>
  </r>
  <r>
    <s v="P0794"/>
    <n v="52"/>
    <s v="Male"/>
    <s v="Cancer"/>
    <s v="Neurology"/>
    <s v="Dr. Kumar"/>
    <d v="2025-04-08T00:00:00"/>
    <d v="2025-04-22T00:00:00"/>
    <n v="112511"/>
    <s v="None"/>
    <s v="UPI"/>
    <x v="3"/>
    <s v="Under Treatment"/>
    <n v="5"/>
  </r>
  <r>
    <s v="P0795"/>
    <n v="61"/>
    <s v="Female"/>
    <s v="Respiratory"/>
    <s v="Oncology"/>
    <s v="Dr. Raj"/>
    <d v="2025-05-05T00:00:00"/>
    <d v="2025-05-23T00:00:00"/>
    <n v="18093"/>
    <s v="Government"/>
    <s v="Cash"/>
    <x v="2"/>
    <s v="Recovered"/>
    <n v="3"/>
  </r>
  <r>
    <s v="P0796"/>
    <n v="81"/>
    <s v="Female"/>
    <s v="Cancer"/>
    <s v="Neurology"/>
    <s v="Dr. Meena"/>
    <d v="2024-02-17T00:00:00"/>
    <d v="2024-02-18T00:00:00"/>
    <n v="21173"/>
    <s v="Corporate"/>
    <s v="UPI"/>
    <x v="1"/>
    <s v="Recovered"/>
    <n v="4"/>
  </r>
  <r>
    <s v="P0797"/>
    <n v="54"/>
    <s v="Female"/>
    <s v="Respiratory"/>
    <s v="Oncology"/>
    <s v="Dr. Kumar"/>
    <d v="2025-07-20T00:00:00"/>
    <d v="2025-07-26T00:00:00"/>
    <n v="15399"/>
    <s v="Private"/>
    <s v="UPI"/>
    <x v="3"/>
    <s v="Under Treatment"/>
    <n v="5"/>
  </r>
  <r>
    <s v="P0798"/>
    <n v="40"/>
    <s v="Male"/>
    <s v="Cancer"/>
    <s v="Orthopedics"/>
    <s v="Dr. Kumar"/>
    <d v="2024-09-23T00:00:00"/>
    <d v="2024-09-28T00:00:00"/>
    <n v="55347"/>
    <s v="Corporate"/>
    <s v="UPI"/>
    <x v="1"/>
    <s v="Recovered"/>
    <n v="2"/>
  </r>
  <r>
    <s v="P0799"/>
    <n v="59"/>
    <s v="Female"/>
    <s v="Respiratory"/>
    <s v="Orthopedics"/>
    <s v="Dr. Arun"/>
    <d v="2024-11-09T00:00:00"/>
    <d v="2024-11-21T00:00:00"/>
    <n v="247026"/>
    <s v="Corporate"/>
    <s v="Card"/>
    <x v="1"/>
    <s v="Under Treatment"/>
    <n v="1"/>
  </r>
  <r>
    <s v="P0800"/>
    <n v="43"/>
    <s v="Male"/>
    <s v="Infection"/>
    <s v="Cardiology"/>
    <s v="Dr. Raj"/>
    <d v="2025-07-09T00:00:00"/>
    <d v="2025-07-19T00:00:00"/>
    <n v="25548"/>
    <s v="Corporate"/>
    <s v="Cash"/>
    <x v="1"/>
    <s v="Follow-up"/>
    <n v="1"/>
  </r>
  <r>
    <s v="P0801"/>
    <n v="60"/>
    <s v="Male"/>
    <s v="Cardiac"/>
    <s v="Neurology"/>
    <s v="Dr. Arun"/>
    <d v="2024-09-01T00:00:00"/>
    <d v="2024-09-21T00:00:00"/>
    <n v="188353"/>
    <s v="Corporate"/>
    <s v="Insurance Claim"/>
    <x v="0"/>
    <s v="Recovered"/>
    <n v="2"/>
  </r>
  <r>
    <s v="P0802"/>
    <n v="66"/>
    <s v="Female"/>
    <s v="Neurological"/>
    <s v="Orthopedics"/>
    <s v="Dr. Meena"/>
    <d v="2025-04-27T00:00:00"/>
    <d v="2025-05-16T00:00:00"/>
    <n v="49614"/>
    <s v="Corporate"/>
    <s v="Card"/>
    <x v="3"/>
    <s v="Under Treatment"/>
    <n v="1"/>
  </r>
  <r>
    <s v="P0803"/>
    <n v="46"/>
    <s v="Male"/>
    <s v="Respiratory"/>
    <s v="Cardiology"/>
    <s v="Dr. Meena"/>
    <d v="2025-09-20T00:00:00"/>
    <d v="2025-09-26T00:00:00"/>
    <n v="15348"/>
    <s v="None"/>
    <s v="Cash"/>
    <x v="3"/>
    <s v="Under Treatment"/>
    <n v="5"/>
  </r>
  <r>
    <s v="P0804"/>
    <n v="73"/>
    <s v="Male"/>
    <s v="Diabetes"/>
    <s v="Neurology"/>
    <s v="Dr. Meena"/>
    <d v="2024-03-19T00:00:00"/>
    <d v="2024-04-04T00:00:00"/>
    <n v="227357"/>
    <s v="Government"/>
    <s v="UPI"/>
    <x v="0"/>
    <s v="Follow-up"/>
    <n v="3"/>
  </r>
  <r>
    <s v="P0805"/>
    <n v="61"/>
    <s v="Female"/>
    <s v="Neurological"/>
    <s v="Cardiology"/>
    <s v="Dr. Arun"/>
    <d v="2024-07-23T00:00:00"/>
    <d v="2024-07-31T00:00:00"/>
    <n v="237702"/>
    <s v="None"/>
    <s v="Card"/>
    <x v="2"/>
    <s v="Recovered"/>
    <n v="3"/>
  </r>
  <r>
    <s v="P0806"/>
    <n v="60"/>
    <s v="Female"/>
    <s v="Respiratory"/>
    <s v="Oncology"/>
    <s v="Dr. Raj"/>
    <d v="2024-11-22T00:00:00"/>
    <d v="2024-12-06T00:00:00"/>
    <n v="12723"/>
    <s v="Government"/>
    <s v="Insurance Claim"/>
    <x v="3"/>
    <s v="Recovered"/>
    <n v="1"/>
  </r>
  <r>
    <s v="P0807"/>
    <n v="38"/>
    <s v="Male"/>
    <s v="Infection"/>
    <s v="Orthopedics"/>
    <s v="Dr. Kumar"/>
    <d v="2025-10-02T00:00:00"/>
    <d v="2025-10-19T00:00:00"/>
    <n v="47002"/>
    <s v="Government"/>
    <s v="Insurance Claim"/>
    <x v="4"/>
    <s v="Follow-up"/>
    <n v="3"/>
  </r>
  <r>
    <s v="P0808"/>
    <n v="27"/>
    <s v="Female"/>
    <s v="Orthopedic"/>
    <s v="Orthopedics"/>
    <s v="Dr. Raj"/>
    <d v="2024-05-03T00:00:00"/>
    <d v="2024-05-06T00:00:00"/>
    <n v="107292"/>
    <s v="None"/>
    <s v="UPI"/>
    <x v="4"/>
    <s v="Under Treatment"/>
    <n v="2"/>
  </r>
  <r>
    <s v="P0809"/>
    <n v="83"/>
    <s v="Female"/>
    <s v="Respiratory"/>
    <s v="General Medicine"/>
    <s v="Dr. Meena"/>
    <d v="2024-06-17T00:00:00"/>
    <d v="2024-06-20T00:00:00"/>
    <n v="91881"/>
    <s v="None"/>
    <s v="Insurance Claim"/>
    <x v="4"/>
    <s v="Recovered"/>
    <n v="2"/>
  </r>
  <r>
    <s v="P0810"/>
    <n v="24"/>
    <s v="Male"/>
    <s v="Respiratory"/>
    <s v="Cardiology"/>
    <s v="Dr. Arun"/>
    <d v="2024-12-19T00:00:00"/>
    <d v="2025-01-06T00:00:00"/>
    <n v="105996"/>
    <s v="Private"/>
    <s v="Insurance Claim"/>
    <x v="4"/>
    <s v="Recovered"/>
    <n v="1"/>
  </r>
  <r>
    <s v="P0811"/>
    <n v="70"/>
    <s v="Female"/>
    <s v="Respiratory"/>
    <s v="Oncology"/>
    <s v="Dr. Kumar"/>
    <d v="2025-04-03T00:00:00"/>
    <d v="2025-04-17T00:00:00"/>
    <n v="20229"/>
    <s v="Government"/>
    <s v="Card"/>
    <x v="4"/>
    <s v="Follow-up"/>
    <n v="4"/>
  </r>
  <r>
    <s v="P0812"/>
    <n v="29"/>
    <s v="Female"/>
    <s v="Cardiac"/>
    <s v="Pulmonology"/>
    <s v="Dr. Arun"/>
    <d v="2025-06-09T00:00:00"/>
    <d v="2025-06-20T00:00:00"/>
    <n v="69921"/>
    <s v="Private"/>
    <s v="UPI"/>
    <x v="2"/>
    <s v="Under Treatment"/>
    <n v="1"/>
  </r>
  <r>
    <s v="P0813"/>
    <n v="25"/>
    <s v="Male"/>
    <s v="Infection"/>
    <s v="Orthopedics"/>
    <s v="Dr. Meena"/>
    <d v="2024-05-20T00:00:00"/>
    <d v="2024-05-25T00:00:00"/>
    <n v="95601"/>
    <s v="None"/>
    <s v="UPI"/>
    <x v="4"/>
    <s v="Recovered"/>
    <n v="4"/>
  </r>
  <r>
    <s v="P0814"/>
    <n v="52"/>
    <s v="Male"/>
    <s v="Orthopedic"/>
    <s v="General Medicine"/>
    <s v="Dr. Arun"/>
    <d v="2025-12-02T00:00:00"/>
    <d v="2025-12-13T00:00:00"/>
    <n v="76848"/>
    <s v="Private"/>
    <s v="Insurance Claim"/>
    <x v="0"/>
    <s v="Follow-up"/>
    <n v="2"/>
  </r>
  <r>
    <s v="P0815"/>
    <n v="52"/>
    <s v="Male"/>
    <s v="Cancer"/>
    <s v="Oncology"/>
    <s v="Dr. Kumar"/>
    <d v="2024-07-31T00:00:00"/>
    <d v="2024-08-06T00:00:00"/>
    <n v="58391"/>
    <s v="Private"/>
    <s v="UPI"/>
    <x v="2"/>
    <s v="Follow-up"/>
    <n v="5"/>
  </r>
  <r>
    <s v="P0816"/>
    <n v="60"/>
    <s v="Male"/>
    <s v="Respiratory"/>
    <s v="General Medicine"/>
    <s v="Dr. Arun"/>
    <d v="2024-06-15T00:00:00"/>
    <d v="2024-06-23T00:00:00"/>
    <n v="13122"/>
    <s v="Government"/>
    <s v="UPI"/>
    <x v="4"/>
    <s v="Under Treatment"/>
    <n v="2"/>
  </r>
  <r>
    <s v="P0817"/>
    <n v="48"/>
    <s v="Male"/>
    <s v="Infection"/>
    <s v="Oncology"/>
    <s v="Dr. Arun"/>
    <d v="2025-05-30T00:00:00"/>
    <d v="2025-06-08T00:00:00"/>
    <n v="9245"/>
    <s v="None"/>
    <s v="Card"/>
    <x v="4"/>
    <s v="Recovered"/>
    <n v="5"/>
  </r>
  <r>
    <s v="P0818"/>
    <n v="19"/>
    <s v="Female"/>
    <s v="Cancer"/>
    <s v="Cardiology"/>
    <s v="Dr. Kumar"/>
    <d v="2025-03-18T00:00:00"/>
    <d v="2025-04-07T00:00:00"/>
    <n v="89210"/>
    <s v="Government"/>
    <s v="Cash"/>
    <x v="4"/>
    <s v="Follow-up"/>
    <n v="1"/>
  </r>
  <r>
    <s v="P0819"/>
    <n v="23"/>
    <s v="Male"/>
    <s v="Orthopedic"/>
    <s v="Pulmonology"/>
    <s v="Dr. Raj"/>
    <d v="2025-02-23T00:00:00"/>
    <d v="2025-03-03T00:00:00"/>
    <n v="196937"/>
    <s v="Private"/>
    <s v="Cash"/>
    <x v="2"/>
    <s v="Recovered"/>
    <n v="5"/>
  </r>
  <r>
    <s v="P0820"/>
    <n v="22"/>
    <s v="Male"/>
    <s v="Orthopedic"/>
    <s v="Cardiology"/>
    <s v="Dr. Arun"/>
    <d v="2024-04-25T00:00:00"/>
    <d v="2024-05-03T00:00:00"/>
    <n v="172619"/>
    <s v="None"/>
    <s v="Cash"/>
    <x v="4"/>
    <s v="Under Treatment"/>
    <n v="1"/>
  </r>
  <r>
    <s v="P0821"/>
    <n v="63"/>
    <s v="Female"/>
    <s v="Cardiac"/>
    <s v="Pulmonology"/>
    <s v="Dr. Priya"/>
    <d v="2024-11-02T00:00:00"/>
    <d v="2024-11-08T00:00:00"/>
    <n v="76521"/>
    <s v="Private"/>
    <s v="Card"/>
    <x v="1"/>
    <s v="Recovered"/>
    <n v="2"/>
  </r>
  <r>
    <s v="P0822"/>
    <n v="85"/>
    <s v="Male"/>
    <s v="Neurological"/>
    <s v="Cardiology"/>
    <s v="Dr. Kumar"/>
    <d v="2025-08-27T00:00:00"/>
    <d v="2025-09-08T00:00:00"/>
    <n v="231195"/>
    <s v="None"/>
    <s v="Card"/>
    <x v="2"/>
    <s v="Recovered"/>
    <n v="2"/>
  </r>
  <r>
    <s v="P0823"/>
    <n v="69"/>
    <s v="Female"/>
    <s v="Respiratory"/>
    <s v="Cardiology"/>
    <s v="Dr. Raj"/>
    <d v="2025-07-13T00:00:00"/>
    <d v="2025-07-23T00:00:00"/>
    <n v="68456"/>
    <s v="Government"/>
    <s v="Insurance Claim"/>
    <x v="2"/>
    <s v="Recovered"/>
    <n v="3"/>
  </r>
  <r>
    <s v="P0824"/>
    <n v="58"/>
    <s v="Female"/>
    <s v="Cardiac"/>
    <s v="Neurology"/>
    <s v="Dr. Arun"/>
    <d v="2024-02-12T00:00:00"/>
    <d v="2024-02-22T00:00:00"/>
    <n v="22440"/>
    <s v="Corporate"/>
    <s v="Cash"/>
    <x v="1"/>
    <s v="Recovered"/>
    <n v="1"/>
  </r>
  <r>
    <s v="P0825"/>
    <n v="24"/>
    <s v="Male"/>
    <s v="Orthopedic"/>
    <s v="Neurology"/>
    <s v="Dr. Raj"/>
    <d v="2025-05-28T00:00:00"/>
    <d v="2025-06-06T00:00:00"/>
    <n v="82105"/>
    <s v="Government"/>
    <s v="UPI"/>
    <x v="2"/>
    <s v="Recovered"/>
    <n v="1"/>
  </r>
  <r>
    <s v="P0826"/>
    <n v="80"/>
    <s v="Female"/>
    <s v="Cancer"/>
    <s v="Oncology"/>
    <s v="Dr. Raj"/>
    <d v="2024-09-17T00:00:00"/>
    <d v="2024-09-28T00:00:00"/>
    <n v="199192"/>
    <s v="None"/>
    <s v="Card"/>
    <x v="2"/>
    <s v="Under Treatment"/>
    <n v="2"/>
  </r>
  <r>
    <s v="P0827"/>
    <n v="67"/>
    <s v="Female"/>
    <s v="Respiratory"/>
    <s v="Cardiology"/>
    <s v="Dr. Priya"/>
    <d v="2025-01-15T00:00:00"/>
    <d v="2025-01-26T00:00:00"/>
    <n v="237038"/>
    <s v="Private"/>
    <s v="Cash"/>
    <x v="3"/>
    <s v="Under Treatment"/>
    <n v="5"/>
  </r>
  <r>
    <s v="P0828"/>
    <n v="49"/>
    <s v="Male"/>
    <s v="Respiratory"/>
    <s v="General Medicine"/>
    <s v="Dr. Meena"/>
    <d v="2025-08-12T00:00:00"/>
    <d v="2025-08-30T00:00:00"/>
    <n v="96196"/>
    <s v="Private"/>
    <s v="UPI"/>
    <x v="2"/>
    <s v="Under Treatment"/>
    <n v="3"/>
  </r>
  <r>
    <s v="P0829"/>
    <n v="61"/>
    <s v="Female"/>
    <s v="Respiratory"/>
    <s v="Oncology"/>
    <s v="Dr. Kumar"/>
    <d v="2024-11-11T00:00:00"/>
    <d v="2024-12-01T00:00:00"/>
    <n v="231770"/>
    <s v="None"/>
    <s v="Card"/>
    <x v="1"/>
    <s v="Follow-up"/>
    <n v="3"/>
  </r>
  <r>
    <s v="P0830"/>
    <n v="83"/>
    <s v="Female"/>
    <s v="Cardiac"/>
    <s v="General Medicine"/>
    <s v="Dr. Meena"/>
    <d v="2024-09-05T00:00:00"/>
    <d v="2024-09-10T00:00:00"/>
    <n v="194000"/>
    <s v="Government"/>
    <s v="UPI"/>
    <x v="3"/>
    <s v="Under Treatment"/>
    <n v="5"/>
  </r>
  <r>
    <s v="P0831"/>
    <n v="31"/>
    <s v="Female"/>
    <s v="Respiratory"/>
    <s v="Orthopedics"/>
    <s v="Dr. Arun"/>
    <d v="2024-08-20T00:00:00"/>
    <d v="2024-09-07T00:00:00"/>
    <n v="130603"/>
    <s v="None"/>
    <s v="Insurance Claim"/>
    <x v="2"/>
    <s v="Follow-up"/>
    <n v="1"/>
  </r>
  <r>
    <s v="P0832"/>
    <n v="35"/>
    <s v="Male"/>
    <s v="Orthopedic"/>
    <s v="Cardiology"/>
    <s v="Dr. Kumar"/>
    <d v="2025-06-10T00:00:00"/>
    <d v="2025-06-19T00:00:00"/>
    <n v="156978"/>
    <s v="Private"/>
    <s v="Insurance Claim"/>
    <x v="0"/>
    <s v="Follow-up"/>
    <n v="4"/>
  </r>
  <r>
    <s v="P0833"/>
    <n v="75"/>
    <s v="Male"/>
    <s v="Infection"/>
    <s v="General Medicine"/>
    <s v="Dr. Kumar"/>
    <d v="2024-05-20T00:00:00"/>
    <d v="2024-05-21T00:00:00"/>
    <n v="236669"/>
    <s v="Private"/>
    <s v="Insurance Claim"/>
    <x v="3"/>
    <s v="Recovered"/>
    <n v="3"/>
  </r>
  <r>
    <s v="P0834"/>
    <n v="30"/>
    <s v="Male"/>
    <s v="Cardiac"/>
    <s v="Pulmonology"/>
    <s v="Dr. Arun"/>
    <d v="2025-08-02T00:00:00"/>
    <d v="2025-08-07T00:00:00"/>
    <n v="132765"/>
    <s v="None"/>
    <s v="Cash"/>
    <x v="2"/>
    <s v="Recovered"/>
    <n v="2"/>
  </r>
  <r>
    <s v="P0835"/>
    <n v="64"/>
    <s v="Male"/>
    <s v="Cardiac"/>
    <s v="Neurology"/>
    <s v="Dr. Raj"/>
    <d v="2024-09-12T00:00:00"/>
    <d v="2024-09-30T00:00:00"/>
    <n v="224522"/>
    <s v="Government"/>
    <s v="UPI"/>
    <x v="2"/>
    <s v="Follow-up"/>
    <n v="1"/>
  </r>
  <r>
    <s v="P0836"/>
    <n v="40"/>
    <s v="Female"/>
    <s v="Cardiac"/>
    <s v="Neurology"/>
    <s v="Dr. Priya"/>
    <d v="2025-05-12T00:00:00"/>
    <d v="2025-05-18T00:00:00"/>
    <n v="215143"/>
    <s v="Corporate"/>
    <s v="UPI"/>
    <x v="1"/>
    <s v="Under Treatment"/>
    <n v="5"/>
  </r>
  <r>
    <s v="P0837"/>
    <n v="75"/>
    <s v="Female"/>
    <s v="Diabetes"/>
    <s v="Oncology"/>
    <s v="Dr. Priya"/>
    <d v="2025-11-24T00:00:00"/>
    <d v="2025-11-29T00:00:00"/>
    <n v="37684"/>
    <s v="Corporate"/>
    <s v="Insurance Claim"/>
    <x v="1"/>
    <s v="Follow-up"/>
    <n v="3"/>
  </r>
  <r>
    <s v="P0838"/>
    <n v="54"/>
    <s v="Male"/>
    <s v="Cardiac"/>
    <s v="Cardiology"/>
    <s v="Dr. Kumar"/>
    <d v="2025-11-18T00:00:00"/>
    <d v="2025-12-03T00:00:00"/>
    <n v="51795"/>
    <s v="Corporate"/>
    <s v="Insurance Claim"/>
    <x v="2"/>
    <s v="Recovered"/>
    <n v="1"/>
  </r>
  <r>
    <s v="P0839"/>
    <n v="78"/>
    <s v="Female"/>
    <s v="Diabetes"/>
    <s v="Orthopedics"/>
    <s v="Dr. Meena"/>
    <d v="2025-03-13T00:00:00"/>
    <d v="2025-03-20T00:00:00"/>
    <n v="190005"/>
    <s v="None"/>
    <s v="Cash"/>
    <x v="1"/>
    <s v="Recovered"/>
    <n v="3"/>
  </r>
  <r>
    <s v="P0840"/>
    <n v="84"/>
    <s v="Female"/>
    <s v="Neurological"/>
    <s v="General Medicine"/>
    <s v="Dr. Arun"/>
    <d v="2025-04-23T00:00:00"/>
    <d v="2025-04-24T00:00:00"/>
    <n v="185148"/>
    <s v="Corporate"/>
    <s v="UPI"/>
    <x v="2"/>
    <s v="Recovered"/>
    <n v="3"/>
  </r>
  <r>
    <s v="P0841"/>
    <n v="51"/>
    <s v="Male"/>
    <s v="Cardiac"/>
    <s v="Oncology"/>
    <s v="Dr. Meena"/>
    <d v="2024-10-28T00:00:00"/>
    <d v="2024-10-31T00:00:00"/>
    <n v="213659"/>
    <s v="None"/>
    <s v="Insurance Claim"/>
    <x v="2"/>
    <s v="Under Treatment"/>
    <n v="5"/>
  </r>
  <r>
    <s v="P0842"/>
    <n v="74"/>
    <s v="Male"/>
    <s v="Respiratory"/>
    <s v="Neurology"/>
    <s v="Dr. Raj"/>
    <d v="2025-08-10T00:00:00"/>
    <d v="2025-08-19T00:00:00"/>
    <n v="42895"/>
    <s v="None"/>
    <s v="Insurance Claim"/>
    <x v="2"/>
    <s v="Follow-up"/>
    <n v="5"/>
  </r>
  <r>
    <s v="P0843"/>
    <n v="59"/>
    <s v="Male"/>
    <s v="Cancer"/>
    <s v="Neurology"/>
    <s v="Dr. Meena"/>
    <d v="2025-10-18T00:00:00"/>
    <d v="2025-10-26T00:00:00"/>
    <n v="201112"/>
    <s v="Government"/>
    <s v="Card"/>
    <x v="1"/>
    <s v="Recovered"/>
    <n v="3"/>
  </r>
  <r>
    <s v="P0844"/>
    <n v="44"/>
    <s v="Female"/>
    <s v="Neurological"/>
    <s v="Oncology"/>
    <s v="Dr. Meena"/>
    <d v="2025-11-02T00:00:00"/>
    <d v="2025-11-10T00:00:00"/>
    <n v="211728"/>
    <s v="Government"/>
    <s v="Insurance Claim"/>
    <x v="4"/>
    <s v="Recovered"/>
    <n v="4"/>
  </r>
  <r>
    <s v="P0845"/>
    <n v="85"/>
    <s v="Female"/>
    <s v="Cardiac"/>
    <s v="Neurology"/>
    <s v="Dr. Arun"/>
    <d v="2025-12-11T00:00:00"/>
    <d v="2025-12-14T00:00:00"/>
    <n v="41020"/>
    <s v="Private"/>
    <s v="UPI"/>
    <x v="4"/>
    <s v="Recovered"/>
    <n v="2"/>
  </r>
  <r>
    <s v="P0846"/>
    <n v="36"/>
    <s v="Male"/>
    <s v="Orthopedic"/>
    <s v="Cardiology"/>
    <s v="Dr. Meena"/>
    <d v="2025-02-19T00:00:00"/>
    <d v="2025-03-03T00:00:00"/>
    <n v="199051"/>
    <s v="None"/>
    <s v="Insurance Claim"/>
    <x v="0"/>
    <s v="Under Treatment"/>
    <n v="4"/>
  </r>
  <r>
    <s v="P0847"/>
    <n v="22"/>
    <s v="Female"/>
    <s v="Neurological"/>
    <s v="Neurology"/>
    <s v="Dr. Priya"/>
    <d v="2024-04-22T00:00:00"/>
    <d v="2024-04-28T00:00:00"/>
    <n v="192282"/>
    <s v="Government"/>
    <s v="Insurance Claim"/>
    <x v="4"/>
    <s v="Under Treatment"/>
    <n v="5"/>
  </r>
  <r>
    <s v="P0848"/>
    <n v="19"/>
    <s v="Female"/>
    <s v="Diabetes"/>
    <s v="General Medicine"/>
    <s v="Dr. Meena"/>
    <d v="2025-05-30T00:00:00"/>
    <d v="2025-06-19T00:00:00"/>
    <n v="219494"/>
    <s v="Private"/>
    <s v="Insurance Claim"/>
    <x v="0"/>
    <s v="Recovered"/>
    <n v="3"/>
  </r>
  <r>
    <s v="P0849"/>
    <n v="46"/>
    <s v="Female"/>
    <s v="Respiratory"/>
    <s v="General Medicine"/>
    <s v="Dr. Arun"/>
    <d v="2024-02-11T00:00:00"/>
    <d v="2024-02-13T00:00:00"/>
    <n v="174726"/>
    <s v="Government"/>
    <s v="Card"/>
    <x v="0"/>
    <s v="Recovered"/>
    <n v="4"/>
  </r>
  <r>
    <s v="P0850"/>
    <n v="47"/>
    <s v="Female"/>
    <s v="Neurological"/>
    <s v="Pulmonology"/>
    <s v="Dr. Arun"/>
    <d v="2025-03-29T00:00:00"/>
    <d v="2025-04-01T00:00:00"/>
    <n v="180698"/>
    <s v="Government"/>
    <s v="Card"/>
    <x v="1"/>
    <s v="Under Treatment"/>
    <n v="5"/>
  </r>
  <r>
    <s v="P0851"/>
    <n v="49"/>
    <s v="Female"/>
    <s v="Cancer"/>
    <s v="Orthopedics"/>
    <s v="Dr. Raj"/>
    <d v="2025-08-11T00:00:00"/>
    <d v="2025-08-17T00:00:00"/>
    <n v="8182"/>
    <s v="Private"/>
    <s v="Card"/>
    <x v="2"/>
    <s v="Recovered"/>
    <n v="4"/>
  </r>
  <r>
    <s v="P0852"/>
    <n v="57"/>
    <s v="Female"/>
    <s v="Neurological"/>
    <s v="Pulmonology"/>
    <s v="Dr. Kumar"/>
    <d v="2024-02-28T00:00:00"/>
    <d v="2024-03-18T00:00:00"/>
    <n v="190512"/>
    <s v="None"/>
    <s v="Cash"/>
    <x v="1"/>
    <s v="Recovered"/>
    <n v="1"/>
  </r>
  <r>
    <s v="P0853"/>
    <n v="21"/>
    <s v="Male"/>
    <s v="Infection"/>
    <s v="Cardiology"/>
    <s v="Dr. Priya"/>
    <d v="2025-02-09T00:00:00"/>
    <d v="2025-02-10T00:00:00"/>
    <n v="234637"/>
    <s v="None"/>
    <s v="UPI"/>
    <x v="4"/>
    <s v="Under Treatment"/>
    <n v="5"/>
  </r>
  <r>
    <s v="P0854"/>
    <n v="22"/>
    <s v="Female"/>
    <s v="Orthopedic"/>
    <s v="Pulmonology"/>
    <s v="Dr. Kumar"/>
    <d v="2025-07-22T00:00:00"/>
    <d v="2025-07-30T00:00:00"/>
    <n v="124402"/>
    <s v="Private"/>
    <s v="Card"/>
    <x v="2"/>
    <s v="Under Treatment"/>
    <n v="3"/>
  </r>
  <r>
    <s v="P0855"/>
    <n v="19"/>
    <s v="Male"/>
    <s v="Cardiac"/>
    <s v="General Medicine"/>
    <s v="Dr. Meena"/>
    <d v="2025-08-15T00:00:00"/>
    <d v="2025-08-20T00:00:00"/>
    <n v="123495"/>
    <s v="Private"/>
    <s v="Card"/>
    <x v="1"/>
    <s v="Under Treatment"/>
    <n v="5"/>
  </r>
  <r>
    <s v="P0856"/>
    <n v="64"/>
    <s v="Female"/>
    <s v="Orthopedic"/>
    <s v="Oncology"/>
    <s v="Dr. Priya"/>
    <d v="2025-09-22T00:00:00"/>
    <d v="2025-10-02T00:00:00"/>
    <n v="79830"/>
    <s v="Private"/>
    <s v="UPI"/>
    <x v="2"/>
    <s v="Follow-up"/>
    <n v="4"/>
  </r>
  <r>
    <s v="P0857"/>
    <n v="21"/>
    <s v="Male"/>
    <s v="Infection"/>
    <s v="Orthopedics"/>
    <s v="Dr. Raj"/>
    <d v="2025-05-15T00:00:00"/>
    <d v="2025-06-03T00:00:00"/>
    <n v="172531"/>
    <s v="Corporate"/>
    <s v="Card"/>
    <x v="1"/>
    <s v="Recovered"/>
    <n v="4"/>
  </r>
  <r>
    <s v="P0858"/>
    <n v="78"/>
    <s v="Male"/>
    <s v="Cancer"/>
    <s v="Neurology"/>
    <s v="Dr. Kumar"/>
    <d v="2025-06-27T00:00:00"/>
    <d v="2025-07-05T00:00:00"/>
    <n v="82887"/>
    <s v="Private"/>
    <s v="UPI"/>
    <x v="0"/>
    <s v="Follow-up"/>
    <n v="2"/>
  </r>
  <r>
    <s v="P0859"/>
    <n v="42"/>
    <s v="Male"/>
    <s v="Orthopedic"/>
    <s v="General Medicine"/>
    <s v="Dr. Priya"/>
    <d v="2025-09-13T00:00:00"/>
    <d v="2025-09-14T00:00:00"/>
    <n v="33821"/>
    <s v="Corporate"/>
    <s v="Card"/>
    <x v="1"/>
    <s v="Under Treatment"/>
    <n v="2"/>
  </r>
  <r>
    <s v="P0860"/>
    <n v="27"/>
    <s v="Female"/>
    <s v="Orthopedic"/>
    <s v="Orthopedics"/>
    <s v="Dr. Raj"/>
    <d v="2024-02-20T00:00:00"/>
    <d v="2024-02-22T00:00:00"/>
    <n v="156009"/>
    <s v="Government"/>
    <s v="UPI"/>
    <x v="2"/>
    <s v="Follow-up"/>
    <n v="3"/>
  </r>
  <r>
    <s v="P0861"/>
    <n v="52"/>
    <s v="Male"/>
    <s v="Neurological"/>
    <s v="Pulmonology"/>
    <s v="Dr. Arun"/>
    <d v="2024-10-16T00:00:00"/>
    <d v="2024-10-24T00:00:00"/>
    <n v="160549"/>
    <s v="None"/>
    <s v="Cash"/>
    <x v="3"/>
    <s v="Under Treatment"/>
    <n v="5"/>
  </r>
  <r>
    <s v="P0862"/>
    <n v="68"/>
    <s v="Male"/>
    <s v="Orthopedic"/>
    <s v="General Medicine"/>
    <s v="Dr. Kumar"/>
    <d v="2024-10-13T00:00:00"/>
    <d v="2024-10-25T00:00:00"/>
    <n v="238333"/>
    <s v="None"/>
    <s v="Card"/>
    <x v="0"/>
    <s v="Recovered"/>
    <n v="3"/>
  </r>
  <r>
    <s v="P0863"/>
    <n v="26"/>
    <s v="Female"/>
    <s v="Orthopedic"/>
    <s v="Pulmonology"/>
    <s v="Dr. Raj"/>
    <d v="2024-07-26T00:00:00"/>
    <d v="2024-08-02T00:00:00"/>
    <n v="106863"/>
    <s v="Corporate"/>
    <s v="Insurance Claim"/>
    <x v="4"/>
    <s v="Follow-up"/>
    <n v="2"/>
  </r>
  <r>
    <s v="P0864"/>
    <n v="67"/>
    <s v="Male"/>
    <s v="Diabetes"/>
    <s v="Pulmonology"/>
    <s v="Dr. Kumar"/>
    <d v="2025-01-05T00:00:00"/>
    <d v="2025-01-23T00:00:00"/>
    <n v="177833"/>
    <s v="None"/>
    <s v="Card"/>
    <x v="2"/>
    <s v="Under Treatment"/>
    <n v="1"/>
  </r>
  <r>
    <s v="P0865"/>
    <n v="41"/>
    <s v="Female"/>
    <s v="Cardiac"/>
    <s v="Pulmonology"/>
    <s v="Dr. Meena"/>
    <d v="2025-03-23T00:00:00"/>
    <d v="2025-03-25T00:00:00"/>
    <n v="171488"/>
    <s v="Government"/>
    <s v="Cash"/>
    <x v="4"/>
    <s v="Recovered"/>
    <n v="2"/>
  </r>
  <r>
    <s v="P0866"/>
    <n v="29"/>
    <s v="Male"/>
    <s v="Respiratory"/>
    <s v="Orthopedics"/>
    <s v="Dr. Priya"/>
    <d v="2025-03-08T00:00:00"/>
    <d v="2025-03-23T00:00:00"/>
    <n v="175944"/>
    <s v="Corporate"/>
    <s v="Cash"/>
    <x v="1"/>
    <s v="Follow-up"/>
    <n v="3"/>
  </r>
  <r>
    <s v="P0867"/>
    <n v="57"/>
    <s v="Female"/>
    <s v="Respiratory"/>
    <s v="General Medicine"/>
    <s v="Dr. Raj"/>
    <d v="2025-02-24T00:00:00"/>
    <d v="2025-03-15T00:00:00"/>
    <n v="194503"/>
    <s v="None"/>
    <s v="Insurance Claim"/>
    <x v="3"/>
    <s v="Follow-up"/>
    <n v="2"/>
  </r>
  <r>
    <s v="P0868"/>
    <n v="21"/>
    <s v="Female"/>
    <s v="Respiratory"/>
    <s v="Pulmonology"/>
    <s v="Dr. Meena"/>
    <d v="2024-06-28T00:00:00"/>
    <d v="2024-07-05T00:00:00"/>
    <n v="227134"/>
    <s v="Corporate"/>
    <s v="UPI"/>
    <x v="4"/>
    <s v="Recovered"/>
    <n v="2"/>
  </r>
  <r>
    <s v="P0869"/>
    <n v="59"/>
    <s v="Female"/>
    <s v="Orthopedic"/>
    <s v="Pulmonology"/>
    <s v="Dr. Priya"/>
    <d v="2025-03-27T00:00:00"/>
    <d v="2025-04-04T00:00:00"/>
    <n v="243150"/>
    <s v="Government"/>
    <s v="UPI"/>
    <x v="4"/>
    <s v="Under Treatment"/>
    <n v="2"/>
  </r>
  <r>
    <s v="P0870"/>
    <n v="74"/>
    <s v="Male"/>
    <s v="Orthopedic"/>
    <s v="Orthopedics"/>
    <s v="Dr. Raj"/>
    <d v="2024-12-04T00:00:00"/>
    <d v="2024-12-19T00:00:00"/>
    <n v="138136"/>
    <s v="Private"/>
    <s v="Insurance Claim"/>
    <x v="2"/>
    <s v="Under Treatment"/>
    <n v="5"/>
  </r>
  <r>
    <s v="P0871"/>
    <n v="55"/>
    <s v="Male"/>
    <s v="Cancer"/>
    <s v="Cardiology"/>
    <s v="Dr. Arun"/>
    <d v="2024-02-13T00:00:00"/>
    <d v="2024-03-01T00:00:00"/>
    <n v="18091"/>
    <s v="Government"/>
    <s v="UPI"/>
    <x v="4"/>
    <s v="Recovered"/>
    <n v="1"/>
  </r>
  <r>
    <s v="P0872"/>
    <n v="66"/>
    <s v="Female"/>
    <s v="Cancer"/>
    <s v="General Medicine"/>
    <s v="Dr. Raj"/>
    <d v="2024-09-06T00:00:00"/>
    <d v="2024-09-25T00:00:00"/>
    <n v="145740"/>
    <s v="Private"/>
    <s v="UPI"/>
    <x v="3"/>
    <s v="Recovered"/>
    <n v="2"/>
  </r>
  <r>
    <s v="P0873"/>
    <n v="48"/>
    <s v="Male"/>
    <s v="Orthopedic"/>
    <s v="General Medicine"/>
    <s v="Dr. Meena"/>
    <d v="2025-04-21T00:00:00"/>
    <d v="2025-05-01T00:00:00"/>
    <n v="30246"/>
    <s v="None"/>
    <s v="Insurance Claim"/>
    <x v="3"/>
    <s v="Follow-up"/>
    <n v="1"/>
  </r>
  <r>
    <s v="P0874"/>
    <n v="43"/>
    <s v="Female"/>
    <s v="Cardiac"/>
    <s v="Neurology"/>
    <s v="Dr. Meena"/>
    <d v="2025-09-28T00:00:00"/>
    <d v="2025-10-08T00:00:00"/>
    <n v="118023"/>
    <s v="None"/>
    <s v="Insurance Claim"/>
    <x v="4"/>
    <s v="Under Treatment"/>
    <n v="2"/>
  </r>
  <r>
    <s v="P0875"/>
    <n v="47"/>
    <s v="Male"/>
    <s v="Diabetes"/>
    <s v="Pulmonology"/>
    <s v="Dr. Meena"/>
    <d v="2024-09-02T00:00:00"/>
    <d v="2024-09-14T00:00:00"/>
    <n v="132493"/>
    <s v="Private"/>
    <s v="Insurance Claim"/>
    <x v="1"/>
    <s v="Follow-up"/>
    <n v="2"/>
  </r>
  <r>
    <s v="P0876"/>
    <n v="34"/>
    <s v="Male"/>
    <s v="Cancer"/>
    <s v="General Medicine"/>
    <s v="Dr. Priya"/>
    <d v="2024-04-19T00:00:00"/>
    <d v="2024-05-03T00:00:00"/>
    <n v="212652"/>
    <s v="Private"/>
    <s v="Insurance Claim"/>
    <x v="1"/>
    <s v="Recovered"/>
    <n v="1"/>
  </r>
  <r>
    <s v="P0877"/>
    <n v="22"/>
    <s v="Male"/>
    <s v="Cancer"/>
    <s v="Oncology"/>
    <s v="Dr. Meena"/>
    <d v="2024-08-05T00:00:00"/>
    <d v="2024-08-22T00:00:00"/>
    <n v="231401"/>
    <s v="Government"/>
    <s v="Cash"/>
    <x v="0"/>
    <s v="Under Treatment"/>
    <n v="3"/>
  </r>
  <r>
    <s v="P0878"/>
    <n v="65"/>
    <s v="Female"/>
    <s v="Orthopedic"/>
    <s v="General Medicine"/>
    <s v="Dr. Raj"/>
    <d v="2024-09-01T00:00:00"/>
    <d v="2024-09-16T00:00:00"/>
    <n v="125119"/>
    <s v="Private"/>
    <s v="Cash"/>
    <x v="3"/>
    <s v="Recovered"/>
    <n v="1"/>
  </r>
  <r>
    <s v="P0879"/>
    <n v="47"/>
    <s v="Female"/>
    <s v="Neurological"/>
    <s v="Orthopedics"/>
    <s v="Dr. Priya"/>
    <d v="2025-11-09T00:00:00"/>
    <d v="2025-11-19T00:00:00"/>
    <n v="9950"/>
    <s v="None"/>
    <s v="Cash"/>
    <x v="1"/>
    <s v="Under Treatment"/>
    <n v="1"/>
  </r>
  <r>
    <s v="P0880"/>
    <n v="57"/>
    <s v="Male"/>
    <s v="Cancer"/>
    <s v="Cardiology"/>
    <s v="Dr. Arun"/>
    <d v="2025-07-29T00:00:00"/>
    <d v="2025-08-06T00:00:00"/>
    <n v="110479"/>
    <s v="Private"/>
    <s v="Cash"/>
    <x v="0"/>
    <s v="Follow-up"/>
    <n v="3"/>
  </r>
  <r>
    <s v="P0881"/>
    <n v="55"/>
    <s v="Male"/>
    <s v="Cancer"/>
    <s v="Pulmonology"/>
    <s v="Dr. Kumar"/>
    <d v="2025-09-13T00:00:00"/>
    <d v="2025-09-27T00:00:00"/>
    <n v="210143"/>
    <s v="Private"/>
    <s v="Card"/>
    <x v="1"/>
    <s v="Recovered"/>
    <n v="5"/>
  </r>
  <r>
    <s v="P0882"/>
    <n v="26"/>
    <s v="Male"/>
    <s v="Orthopedic"/>
    <s v="Orthopedics"/>
    <s v="Dr. Arun"/>
    <d v="2024-04-20T00:00:00"/>
    <d v="2024-04-24T00:00:00"/>
    <n v="131355"/>
    <s v="Government"/>
    <s v="Insurance Claim"/>
    <x v="2"/>
    <s v="Recovered"/>
    <n v="4"/>
  </r>
  <r>
    <s v="P0883"/>
    <n v="80"/>
    <s v="Male"/>
    <s v="Infection"/>
    <s v="Pulmonology"/>
    <s v="Dr. Raj"/>
    <d v="2025-01-25T00:00:00"/>
    <d v="2025-01-31T00:00:00"/>
    <n v="23683"/>
    <s v="Private"/>
    <s v="Card"/>
    <x v="3"/>
    <s v="Recovered"/>
    <n v="2"/>
  </r>
  <r>
    <s v="P0884"/>
    <n v="25"/>
    <s v="Male"/>
    <s v="Neurological"/>
    <s v="Oncology"/>
    <s v="Dr. Priya"/>
    <d v="2024-07-01T00:00:00"/>
    <d v="2024-07-17T00:00:00"/>
    <n v="70828"/>
    <s v="Corporate"/>
    <s v="Card"/>
    <x v="4"/>
    <s v="Under Treatment"/>
    <n v="3"/>
  </r>
  <r>
    <s v="P0885"/>
    <n v="60"/>
    <s v="Female"/>
    <s v="Diabetes"/>
    <s v="Oncology"/>
    <s v="Dr. Arun"/>
    <d v="2025-10-16T00:00:00"/>
    <d v="2025-10-21T00:00:00"/>
    <n v="181026"/>
    <s v="Private"/>
    <s v="Insurance Claim"/>
    <x v="2"/>
    <s v="Follow-up"/>
    <n v="4"/>
  </r>
  <r>
    <s v="P0886"/>
    <n v="69"/>
    <s v="Male"/>
    <s v="Cancer"/>
    <s v="Pulmonology"/>
    <s v="Dr. Raj"/>
    <d v="2025-06-30T00:00:00"/>
    <d v="2025-07-19T00:00:00"/>
    <n v="204923"/>
    <s v="Private"/>
    <s v="UPI"/>
    <x v="1"/>
    <s v="Follow-up"/>
    <n v="2"/>
  </r>
  <r>
    <s v="P0887"/>
    <n v="43"/>
    <s v="Female"/>
    <s v="Cancer"/>
    <s v="Neurology"/>
    <s v="Dr. Meena"/>
    <d v="2025-12-11T00:00:00"/>
    <d v="2025-12-14T00:00:00"/>
    <n v="155261"/>
    <s v="Corporate"/>
    <s v="Insurance Claim"/>
    <x v="1"/>
    <s v="Under Treatment"/>
    <n v="3"/>
  </r>
  <r>
    <s v="P0888"/>
    <n v="35"/>
    <s v="Male"/>
    <s v="Respiratory"/>
    <s v="Cardiology"/>
    <s v="Dr. Raj"/>
    <d v="2024-06-22T00:00:00"/>
    <d v="2024-07-04T00:00:00"/>
    <n v="101006"/>
    <s v="Corporate"/>
    <s v="Insurance Claim"/>
    <x v="2"/>
    <s v="Follow-up"/>
    <n v="4"/>
  </r>
  <r>
    <s v="P0889"/>
    <n v="41"/>
    <s v="Male"/>
    <s v="Respiratory"/>
    <s v="Pulmonology"/>
    <s v="Dr. Kumar"/>
    <d v="2025-07-20T00:00:00"/>
    <d v="2025-07-21T00:00:00"/>
    <n v="113454"/>
    <s v="Corporate"/>
    <s v="Card"/>
    <x v="2"/>
    <s v="Recovered"/>
    <n v="1"/>
  </r>
  <r>
    <s v="P0890"/>
    <n v="60"/>
    <s v="Female"/>
    <s v="Infection"/>
    <s v="Oncology"/>
    <s v="Dr. Meena"/>
    <d v="2024-01-26T00:00:00"/>
    <d v="2024-02-07T00:00:00"/>
    <n v="29926"/>
    <s v="Corporate"/>
    <s v="Insurance Claim"/>
    <x v="4"/>
    <s v="Follow-up"/>
    <n v="3"/>
  </r>
  <r>
    <s v="P0891"/>
    <n v="33"/>
    <s v="Female"/>
    <s v="Cardiac"/>
    <s v="Cardiology"/>
    <s v="Dr. Meena"/>
    <d v="2025-01-23T00:00:00"/>
    <d v="2025-01-31T00:00:00"/>
    <n v="192917"/>
    <s v="Private"/>
    <s v="Card"/>
    <x v="2"/>
    <s v="Recovered"/>
    <n v="1"/>
  </r>
  <r>
    <s v="P0892"/>
    <n v="29"/>
    <s v="Male"/>
    <s v="Neurological"/>
    <s v="Pulmonology"/>
    <s v="Dr. Kumar"/>
    <d v="2024-05-06T00:00:00"/>
    <d v="2024-05-12T00:00:00"/>
    <n v="233365"/>
    <s v="None"/>
    <s v="Cash"/>
    <x v="4"/>
    <s v="Recovered"/>
    <n v="5"/>
  </r>
  <r>
    <s v="P0893"/>
    <n v="85"/>
    <s v="Female"/>
    <s v="Orthopedic"/>
    <s v="Oncology"/>
    <s v="Dr. Priya"/>
    <d v="2025-07-12T00:00:00"/>
    <d v="2025-07-29T00:00:00"/>
    <n v="108072"/>
    <s v="Government"/>
    <s v="UPI"/>
    <x v="0"/>
    <s v="Recovered"/>
    <n v="3"/>
  </r>
  <r>
    <s v="P0894"/>
    <n v="73"/>
    <s v="Female"/>
    <s v="Orthopedic"/>
    <s v="Orthopedics"/>
    <s v="Dr. Priya"/>
    <d v="2025-04-10T00:00:00"/>
    <d v="2025-04-19T00:00:00"/>
    <n v="135010"/>
    <s v="Government"/>
    <s v="UPI"/>
    <x v="3"/>
    <s v="Under Treatment"/>
    <n v="5"/>
  </r>
  <r>
    <s v="P0895"/>
    <n v="61"/>
    <s v="Male"/>
    <s v="Neurological"/>
    <s v="General Medicine"/>
    <s v="Dr. Priya"/>
    <d v="2025-01-16T00:00:00"/>
    <d v="2025-01-29T00:00:00"/>
    <n v="153642"/>
    <s v="Corporate"/>
    <s v="Cash"/>
    <x v="2"/>
    <s v="Under Treatment"/>
    <n v="3"/>
  </r>
  <r>
    <s v="P0896"/>
    <n v="28"/>
    <s v="Male"/>
    <s v="Respiratory"/>
    <s v="Oncology"/>
    <s v="Dr. Priya"/>
    <d v="2025-03-17T00:00:00"/>
    <d v="2025-03-26T00:00:00"/>
    <n v="56957"/>
    <s v="None"/>
    <s v="Card"/>
    <x v="2"/>
    <s v="Follow-up"/>
    <n v="5"/>
  </r>
  <r>
    <s v="P0897"/>
    <n v="20"/>
    <s v="Male"/>
    <s v="Infection"/>
    <s v="Orthopedics"/>
    <s v="Dr. Priya"/>
    <d v="2025-05-12T00:00:00"/>
    <d v="2025-05-16T00:00:00"/>
    <n v="15721"/>
    <s v="Corporate"/>
    <s v="Cash"/>
    <x v="1"/>
    <s v="Follow-up"/>
    <n v="2"/>
  </r>
  <r>
    <s v="P0898"/>
    <n v="27"/>
    <s v="Female"/>
    <s v="Diabetes"/>
    <s v="Orthopedics"/>
    <s v="Dr. Arun"/>
    <d v="2025-05-04T00:00:00"/>
    <d v="2025-05-05T00:00:00"/>
    <n v="143864"/>
    <s v="Corporate"/>
    <s v="Cash"/>
    <x v="4"/>
    <s v="Follow-up"/>
    <n v="5"/>
  </r>
  <r>
    <s v="P0899"/>
    <n v="35"/>
    <s v="Male"/>
    <s v="Orthopedic"/>
    <s v="Neurology"/>
    <s v="Dr. Kumar"/>
    <d v="2025-05-11T00:00:00"/>
    <d v="2025-05-27T00:00:00"/>
    <n v="200440"/>
    <s v="None"/>
    <s v="Card"/>
    <x v="2"/>
    <s v="Under Treatment"/>
    <n v="1"/>
  </r>
  <r>
    <s v="P0900"/>
    <n v="39"/>
    <s v="Male"/>
    <s v="Infection"/>
    <s v="Cardiology"/>
    <s v="Dr. Arun"/>
    <d v="2024-02-07T00:00:00"/>
    <d v="2024-02-24T00:00:00"/>
    <n v="249585"/>
    <s v="Corporate"/>
    <s v="UPI"/>
    <x v="4"/>
    <s v="Follow-up"/>
    <n v="2"/>
  </r>
  <r>
    <s v="P0901"/>
    <n v="62"/>
    <s v="Female"/>
    <s v="Infection"/>
    <s v="Neurology"/>
    <s v="Dr. Arun"/>
    <d v="2024-04-30T00:00:00"/>
    <d v="2024-05-07T00:00:00"/>
    <n v="21257"/>
    <s v="None"/>
    <s v="Card"/>
    <x v="3"/>
    <s v="Follow-up"/>
    <n v="1"/>
  </r>
  <r>
    <s v="P0902"/>
    <n v="84"/>
    <s v="Male"/>
    <s v="Infection"/>
    <s v="General Medicine"/>
    <s v="Dr. Raj"/>
    <d v="2025-03-07T00:00:00"/>
    <d v="2025-03-19T00:00:00"/>
    <n v="113228"/>
    <s v="None"/>
    <s v="Card"/>
    <x v="2"/>
    <s v="Under Treatment"/>
    <n v="3"/>
  </r>
  <r>
    <s v="P0903"/>
    <n v="38"/>
    <s v="Male"/>
    <s v="Cancer"/>
    <s v="Orthopedics"/>
    <s v="Dr. Priya"/>
    <d v="2024-11-27T00:00:00"/>
    <d v="2024-12-17T00:00:00"/>
    <n v="33579"/>
    <s v="None"/>
    <s v="Card"/>
    <x v="4"/>
    <s v="Under Treatment"/>
    <n v="4"/>
  </r>
  <r>
    <s v="P0904"/>
    <n v="25"/>
    <s v="Female"/>
    <s v="Neurological"/>
    <s v="Orthopedics"/>
    <s v="Dr. Arun"/>
    <d v="2024-05-15T00:00:00"/>
    <d v="2024-05-28T00:00:00"/>
    <n v="23032"/>
    <s v="Private"/>
    <s v="Cash"/>
    <x v="1"/>
    <s v="Follow-up"/>
    <n v="1"/>
  </r>
  <r>
    <s v="P0905"/>
    <n v="77"/>
    <s v="Male"/>
    <s v="Neurological"/>
    <s v="General Medicine"/>
    <s v="Dr. Meena"/>
    <d v="2024-12-01T00:00:00"/>
    <d v="2024-12-20T00:00:00"/>
    <n v="49819"/>
    <s v="None"/>
    <s v="Insurance Claim"/>
    <x v="3"/>
    <s v="Under Treatment"/>
    <n v="2"/>
  </r>
  <r>
    <s v="P0906"/>
    <n v="58"/>
    <s v="Female"/>
    <s v="Cardiac"/>
    <s v="Pulmonology"/>
    <s v="Dr. Arun"/>
    <d v="2025-07-25T00:00:00"/>
    <d v="2025-07-31T00:00:00"/>
    <n v="67440"/>
    <s v="Government"/>
    <s v="Cash"/>
    <x v="4"/>
    <s v="Recovered"/>
    <n v="1"/>
  </r>
  <r>
    <s v="P0907"/>
    <n v="21"/>
    <s v="Female"/>
    <s v="Respiratory"/>
    <s v="Neurology"/>
    <s v="Dr. Raj"/>
    <d v="2025-04-18T00:00:00"/>
    <d v="2025-05-01T00:00:00"/>
    <n v="191932"/>
    <s v="None"/>
    <s v="Cash"/>
    <x v="3"/>
    <s v="Follow-up"/>
    <n v="1"/>
  </r>
  <r>
    <s v="P0908"/>
    <n v="45"/>
    <s v="Male"/>
    <s v="Cardiac"/>
    <s v="General Medicine"/>
    <s v="Dr. Raj"/>
    <d v="2025-06-01T00:00:00"/>
    <d v="2025-06-04T00:00:00"/>
    <n v="47852"/>
    <s v="None"/>
    <s v="Card"/>
    <x v="1"/>
    <s v="Follow-up"/>
    <n v="3"/>
  </r>
  <r>
    <s v="P0909"/>
    <n v="57"/>
    <s v="Female"/>
    <s v="Respiratory"/>
    <s v="Cardiology"/>
    <s v="Dr. Priya"/>
    <d v="2025-02-26T00:00:00"/>
    <d v="2025-03-13T00:00:00"/>
    <n v="11754"/>
    <s v="Private"/>
    <s v="Card"/>
    <x v="1"/>
    <s v="Follow-up"/>
    <n v="1"/>
  </r>
  <r>
    <s v="P0910"/>
    <n v="55"/>
    <s v="Female"/>
    <s v="Orthopedic"/>
    <s v="General Medicine"/>
    <s v="Dr. Raj"/>
    <d v="2025-05-14T00:00:00"/>
    <d v="2025-06-02T00:00:00"/>
    <n v="120471"/>
    <s v="Government"/>
    <s v="Insurance Claim"/>
    <x v="1"/>
    <s v="Under Treatment"/>
    <n v="4"/>
  </r>
  <r>
    <s v="P0911"/>
    <n v="77"/>
    <s v="Male"/>
    <s v="Respiratory"/>
    <s v="Pulmonology"/>
    <s v="Dr. Priya"/>
    <d v="2025-04-30T00:00:00"/>
    <d v="2025-05-01T00:00:00"/>
    <n v="183901"/>
    <s v="Government"/>
    <s v="UPI"/>
    <x v="1"/>
    <s v="Follow-up"/>
    <n v="5"/>
  </r>
  <r>
    <s v="P0912"/>
    <n v="41"/>
    <s v="Female"/>
    <s v="Orthopedic"/>
    <s v="Oncology"/>
    <s v="Dr. Raj"/>
    <d v="2025-10-04T00:00:00"/>
    <d v="2025-10-20T00:00:00"/>
    <n v="234604"/>
    <s v="Corporate"/>
    <s v="Card"/>
    <x v="2"/>
    <s v="Recovered"/>
    <n v="3"/>
  </r>
  <r>
    <s v="P0913"/>
    <n v="65"/>
    <s v="Female"/>
    <s v="Cardiac"/>
    <s v="Neurology"/>
    <s v="Dr. Kumar"/>
    <d v="2024-12-17T00:00:00"/>
    <d v="2024-12-18T00:00:00"/>
    <n v="70669"/>
    <s v="Corporate"/>
    <s v="Insurance Claim"/>
    <x v="0"/>
    <s v="Follow-up"/>
    <n v="5"/>
  </r>
  <r>
    <s v="P0914"/>
    <n v="67"/>
    <s v="Female"/>
    <s v="Cancer"/>
    <s v="Cardiology"/>
    <s v="Dr. Meena"/>
    <d v="2024-09-22T00:00:00"/>
    <d v="2024-10-01T00:00:00"/>
    <n v="228570"/>
    <s v="Government"/>
    <s v="Card"/>
    <x v="2"/>
    <s v="Recovered"/>
    <n v="5"/>
  </r>
  <r>
    <s v="P0915"/>
    <n v="44"/>
    <s v="Female"/>
    <s v="Diabetes"/>
    <s v="Pulmonology"/>
    <s v="Dr. Kumar"/>
    <d v="2024-04-13T00:00:00"/>
    <d v="2024-04-14T00:00:00"/>
    <n v="221700"/>
    <s v="Government"/>
    <s v="Insurance Claim"/>
    <x v="1"/>
    <s v="Follow-up"/>
    <n v="3"/>
  </r>
  <r>
    <s v="P0916"/>
    <n v="38"/>
    <s v="Male"/>
    <s v="Respiratory"/>
    <s v="Pulmonology"/>
    <s v="Dr. Kumar"/>
    <d v="2025-09-02T00:00:00"/>
    <d v="2025-09-04T00:00:00"/>
    <n v="145616"/>
    <s v="Government"/>
    <s v="Card"/>
    <x v="4"/>
    <s v="Under Treatment"/>
    <n v="4"/>
  </r>
  <r>
    <s v="P0917"/>
    <n v="68"/>
    <s v="Male"/>
    <s v="Neurological"/>
    <s v="Orthopedics"/>
    <s v="Dr. Priya"/>
    <d v="2025-04-11T00:00:00"/>
    <d v="2025-04-17T00:00:00"/>
    <n v="246881"/>
    <s v="Corporate"/>
    <s v="Cash"/>
    <x v="3"/>
    <s v="Recovered"/>
    <n v="5"/>
  </r>
  <r>
    <s v="P0918"/>
    <n v="84"/>
    <s v="Female"/>
    <s v="Cardiac"/>
    <s v="General Medicine"/>
    <s v="Dr. Priya"/>
    <d v="2025-05-15T00:00:00"/>
    <d v="2025-06-04T00:00:00"/>
    <n v="249075"/>
    <s v="Corporate"/>
    <s v="Insurance Claim"/>
    <x v="3"/>
    <s v="Under Treatment"/>
    <n v="1"/>
  </r>
  <r>
    <s v="P0919"/>
    <n v="36"/>
    <s v="Male"/>
    <s v="Cancer"/>
    <s v="Pulmonology"/>
    <s v="Dr. Meena"/>
    <d v="2024-03-25T00:00:00"/>
    <d v="2024-04-11T00:00:00"/>
    <n v="10022"/>
    <s v="None"/>
    <s v="Card"/>
    <x v="4"/>
    <s v="Follow-up"/>
    <n v="2"/>
  </r>
  <r>
    <s v="P0920"/>
    <n v="62"/>
    <s v="Male"/>
    <s v="Cancer"/>
    <s v="Orthopedics"/>
    <s v="Dr. Raj"/>
    <d v="2024-02-05T00:00:00"/>
    <d v="2024-02-11T00:00:00"/>
    <n v="11410"/>
    <s v="Private"/>
    <s v="UPI"/>
    <x v="4"/>
    <s v="Recovered"/>
    <n v="1"/>
  </r>
  <r>
    <s v="P0921"/>
    <n v="76"/>
    <s v="Female"/>
    <s v="Infection"/>
    <s v="Orthopedics"/>
    <s v="Dr. Kumar"/>
    <d v="2024-03-11T00:00:00"/>
    <d v="2024-03-21T00:00:00"/>
    <n v="18677"/>
    <s v="Private"/>
    <s v="Insurance Claim"/>
    <x v="4"/>
    <s v="Under Treatment"/>
    <n v="2"/>
  </r>
  <r>
    <s v="P0922"/>
    <n v="85"/>
    <s v="Female"/>
    <s v="Orthopedic"/>
    <s v="Pulmonology"/>
    <s v="Dr. Raj"/>
    <d v="2024-02-22T00:00:00"/>
    <d v="2024-03-01T00:00:00"/>
    <n v="134686"/>
    <s v="None"/>
    <s v="Insurance Claim"/>
    <x v="0"/>
    <s v="Follow-up"/>
    <n v="3"/>
  </r>
  <r>
    <s v="P0923"/>
    <n v="35"/>
    <s v="Male"/>
    <s v="Respiratory"/>
    <s v="Oncology"/>
    <s v="Dr. Kumar"/>
    <d v="2025-01-25T00:00:00"/>
    <d v="2025-02-11T00:00:00"/>
    <n v="165473"/>
    <s v="Corporate"/>
    <s v="Card"/>
    <x v="4"/>
    <s v="Under Treatment"/>
    <n v="2"/>
  </r>
  <r>
    <s v="P0924"/>
    <n v="82"/>
    <s v="Female"/>
    <s v="Neurological"/>
    <s v="Neurology"/>
    <s v="Dr. Arun"/>
    <d v="2025-03-24T00:00:00"/>
    <d v="2025-04-03T00:00:00"/>
    <n v="205524"/>
    <s v="Government"/>
    <s v="Insurance Claim"/>
    <x v="0"/>
    <s v="Follow-up"/>
    <n v="3"/>
  </r>
  <r>
    <s v="P0925"/>
    <n v="28"/>
    <s v="Male"/>
    <s v="Respiratory"/>
    <s v="Pulmonology"/>
    <s v="Dr. Raj"/>
    <d v="2025-06-03T00:00:00"/>
    <d v="2025-06-20T00:00:00"/>
    <n v="199903"/>
    <s v="Corporate"/>
    <s v="UPI"/>
    <x v="1"/>
    <s v="Recovered"/>
    <n v="2"/>
  </r>
  <r>
    <s v="P0926"/>
    <n v="63"/>
    <s v="Male"/>
    <s v="Infection"/>
    <s v="Orthopedics"/>
    <s v="Dr. Priya"/>
    <d v="2025-12-12T00:00:00"/>
    <d v="2025-12-17T00:00:00"/>
    <n v="193045"/>
    <s v="None"/>
    <s v="Cash"/>
    <x v="1"/>
    <s v="Under Treatment"/>
    <n v="2"/>
  </r>
  <r>
    <s v="P0927"/>
    <n v="76"/>
    <s v="Female"/>
    <s v="Diabetes"/>
    <s v="Oncology"/>
    <s v="Dr. Meena"/>
    <d v="2024-09-14T00:00:00"/>
    <d v="2024-09-15T00:00:00"/>
    <n v="222310"/>
    <s v="Government"/>
    <s v="Insurance Claim"/>
    <x v="1"/>
    <s v="Recovered"/>
    <n v="3"/>
  </r>
  <r>
    <s v="P0928"/>
    <n v="25"/>
    <s v="Female"/>
    <s v="Cardiac"/>
    <s v="Neurology"/>
    <s v="Dr. Arun"/>
    <d v="2025-06-05T00:00:00"/>
    <d v="2025-06-12T00:00:00"/>
    <n v="110949"/>
    <s v="Corporate"/>
    <s v="Card"/>
    <x v="0"/>
    <s v="Under Treatment"/>
    <n v="2"/>
  </r>
  <r>
    <s v="P0929"/>
    <n v="51"/>
    <s v="Male"/>
    <s v="Infection"/>
    <s v="General Medicine"/>
    <s v="Dr. Arun"/>
    <d v="2025-12-16T00:00:00"/>
    <d v="2025-12-28T00:00:00"/>
    <n v="137381"/>
    <s v="Corporate"/>
    <s v="UPI"/>
    <x v="3"/>
    <s v="Follow-up"/>
    <n v="1"/>
  </r>
  <r>
    <s v="P0930"/>
    <n v="33"/>
    <s v="Female"/>
    <s v="Cancer"/>
    <s v="Oncology"/>
    <s v="Dr. Priya"/>
    <d v="2024-12-16T00:00:00"/>
    <d v="2024-12-21T00:00:00"/>
    <n v="77776"/>
    <s v="Government"/>
    <s v="Insurance Claim"/>
    <x v="4"/>
    <s v="Recovered"/>
    <n v="3"/>
  </r>
  <r>
    <s v="P0931"/>
    <n v="70"/>
    <s v="Male"/>
    <s v="Infection"/>
    <s v="Pulmonology"/>
    <s v="Dr. Arun"/>
    <d v="2025-03-06T00:00:00"/>
    <d v="2025-03-23T00:00:00"/>
    <n v="72404"/>
    <s v="None"/>
    <s v="UPI"/>
    <x v="2"/>
    <s v="Recovered"/>
    <n v="4"/>
  </r>
  <r>
    <s v="P0932"/>
    <n v="50"/>
    <s v="Male"/>
    <s v="Infection"/>
    <s v="Pulmonology"/>
    <s v="Dr. Kumar"/>
    <d v="2025-08-17T00:00:00"/>
    <d v="2025-09-04T00:00:00"/>
    <n v="111062"/>
    <s v="Corporate"/>
    <s v="Cash"/>
    <x v="4"/>
    <s v="Under Treatment"/>
    <n v="4"/>
  </r>
  <r>
    <s v="P0933"/>
    <n v="62"/>
    <s v="Female"/>
    <s v="Diabetes"/>
    <s v="Oncology"/>
    <s v="Dr. Kumar"/>
    <d v="2025-06-12T00:00:00"/>
    <d v="2025-06-29T00:00:00"/>
    <n v="84889"/>
    <s v="None"/>
    <s v="UPI"/>
    <x v="4"/>
    <s v="Recovered"/>
    <n v="4"/>
  </r>
  <r>
    <s v="P0934"/>
    <n v="42"/>
    <s v="Male"/>
    <s v="Infection"/>
    <s v="Oncology"/>
    <s v="Dr. Meena"/>
    <d v="2024-02-21T00:00:00"/>
    <d v="2024-03-12T00:00:00"/>
    <n v="75298"/>
    <s v="None"/>
    <s v="Cash"/>
    <x v="1"/>
    <s v="Recovered"/>
    <n v="4"/>
  </r>
  <r>
    <s v="P0935"/>
    <n v="46"/>
    <s v="Female"/>
    <s v="Orthopedic"/>
    <s v="General Medicine"/>
    <s v="Dr. Kumar"/>
    <d v="2024-03-05T00:00:00"/>
    <d v="2024-03-20T00:00:00"/>
    <n v="118806"/>
    <s v="Government"/>
    <s v="Card"/>
    <x v="2"/>
    <s v="Under Treatment"/>
    <n v="2"/>
  </r>
  <r>
    <s v="P0936"/>
    <n v="65"/>
    <s v="Female"/>
    <s v="Respiratory"/>
    <s v="Oncology"/>
    <s v="Dr. Priya"/>
    <d v="2024-11-01T00:00:00"/>
    <d v="2024-11-13T00:00:00"/>
    <n v="26793"/>
    <s v="Corporate"/>
    <s v="UPI"/>
    <x v="0"/>
    <s v="Under Treatment"/>
    <n v="1"/>
  </r>
  <r>
    <s v="P0937"/>
    <n v="70"/>
    <s v="Female"/>
    <s v="Respiratory"/>
    <s v="Oncology"/>
    <s v="Dr. Raj"/>
    <d v="2024-03-15T00:00:00"/>
    <d v="2024-03-19T00:00:00"/>
    <n v="171835"/>
    <s v="Private"/>
    <s v="UPI"/>
    <x v="4"/>
    <s v="Recovered"/>
    <n v="1"/>
  </r>
  <r>
    <s v="P0938"/>
    <n v="56"/>
    <s v="Female"/>
    <s v="Cancer"/>
    <s v="Neurology"/>
    <s v="Dr. Arun"/>
    <d v="2024-01-05T00:00:00"/>
    <d v="2024-01-09T00:00:00"/>
    <n v="159977"/>
    <s v="Corporate"/>
    <s v="Card"/>
    <x v="1"/>
    <s v="Follow-up"/>
    <n v="4"/>
  </r>
  <r>
    <s v="P0939"/>
    <n v="51"/>
    <s v="Male"/>
    <s v="Respiratory"/>
    <s v="Cardiology"/>
    <s v="Dr. Raj"/>
    <d v="2024-07-20T00:00:00"/>
    <d v="2024-08-08T00:00:00"/>
    <n v="93170"/>
    <s v="Private"/>
    <s v="UPI"/>
    <x v="4"/>
    <s v="Recovered"/>
    <n v="3"/>
  </r>
  <r>
    <s v="P0940"/>
    <n v="22"/>
    <s v="Female"/>
    <s v="Infection"/>
    <s v="Cardiology"/>
    <s v="Dr. Arun"/>
    <d v="2025-10-04T00:00:00"/>
    <d v="2025-10-12T00:00:00"/>
    <n v="75084"/>
    <s v="Private"/>
    <s v="Insurance Claim"/>
    <x v="3"/>
    <s v="Follow-up"/>
    <n v="1"/>
  </r>
  <r>
    <s v="P0941"/>
    <n v="50"/>
    <s v="Female"/>
    <s v="Neurological"/>
    <s v="General Medicine"/>
    <s v="Dr. Raj"/>
    <d v="2024-06-29T00:00:00"/>
    <d v="2024-07-03T00:00:00"/>
    <n v="12555"/>
    <s v="None"/>
    <s v="UPI"/>
    <x v="1"/>
    <s v="Under Treatment"/>
    <n v="5"/>
  </r>
  <r>
    <s v="P0942"/>
    <n v="24"/>
    <s v="Female"/>
    <s v="Respiratory"/>
    <s v="Cardiology"/>
    <s v="Dr. Kumar"/>
    <d v="2024-01-29T00:00:00"/>
    <d v="2024-01-31T00:00:00"/>
    <n v="72383"/>
    <s v="Private"/>
    <s v="Cash"/>
    <x v="3"/>
    <s v="Follow-up"/>
    <n v="1"/>
  </r>
  <r>
    <s v="P0943"/>
    <n v="55"/>
    <s v="Male"/>
    <s v="Neurological"/>
    <s v="Pulmonology"/>
    <s v="Dr. Raj"/>
    <d v="2025-11-27T00:00:00"/>
    <d v="2025-12-12T00:00:00"/>
    <n v="8533"/>
    <s v="Government"/>
    <s v="Card"/>
    <x v="2"/>
    <s v="Under Treatment"/>
    <n v="1"/>
  </r>
  <r>
    <s v="P0944"/>
    <n v="53"/>
    <s v="Female"/>
    <s v="Cancer"/>
    <s v="Pulmonology"/>
    <s v="Dr. Raj"/>
    <d v="2025-08-21T00:00:00"/>
    <d v="2025-08-25T00:00:00"/>
    <n v="244373"/>
    <s v="None"/>
    <s v="Insurance Claim"/>
    <x v="0"/>
    <s v="Follow-up"/>
    <n v="3"/>
  </r>
  <r>
    <s v="P0945"/>
    <n v="66"/>
    <s v="Male"/>
    <s v="Neurological"/>
    <s v="Pulmonology"/>
    <s v="Dr. Arun"/>
    <d v="2025-10-11T00:00:00"/>
    <d v="2025-10-13T00:00:00"/>
    <n v="136688"/>
    <s v="Corporate"/>
    <s v="Insurance Claim"/>
    <x v="2"/>
    <s v="Follow-up"/>
    <n v="4"/>
  </r>
  <r>
    <s v="P0946"/>
    <n v="35"/>
    <s v="Female"/>
    <s v="Orthopedic"/>
    <s v="General Medicine"/>
    <s v="Dr. Arun"/>
    <d v="2024-01-22T00:00:00"/>
    <d v="2024-01-23T00:00:00"/>
    <n v="121744"/>
    <s v="None"/>
    <s v="Insurance Claim"/>
    <x v="1"/>
    <s v="Follow-up"/>
    <n v="5"/>
  </r>
  <r>
    <s v="P0947"/>
    <n v="62"/>
    <s v="Male"/>
    <s v="Diabetes"/>
    <s v="Pulmonology"/>
    <s v="Dr. Kumar"/>
    <d v="2024-07-19T00:00:00"/>
    <d v="2024-08-05T00:00:00"/>
    <n v="140093"/>
    <s v="Corporate"/>
    <s v="UPI"/>
    <x v="3"/>
    <s v="Follow-up"/>
    <n v="4"/>
  </r>
  <r>
    <s v="P0948"/>
    <n v="39"/>
    <s v="Female"/>
    <s v="Diabetes"/>
    <s v="Oncology"/>
    <s v="Dr. Meena"/>
    <d v="2024-02-22T00:00:00"/>
    <d v="2024-03-11T00:00:00"/>
    <n v="113001"/>
    <s v="Private"/>
    <s v="Cash"/>
    <x v="1"/>
    <s v="Follow-up"/>
    <n v="2"/>
  </r>
  <r>
    <s v="P0949"/>
    <n v="22"/>
    <s v="Male"/>
    <s v="Diabetes"/>
    <s v="Neurology"/>
    <s v="Dr. Meena"/>
    <d v="2025-04-18T00:00:00"/>
    <d v="2025-04-24T00:00:00"/>
    <n v="204563"/>
    <s v="Corporate"/>
    <s v="Cash"/>
    <x v="1"/>
    <s v="Follow-up"/>
    <n v="2"/>
  </r>
  <r>
    <s v="P0950"/>
    <n v="27"/>
    <s v="Female"/>
    <s v="Cardiac"/>
    <s v="General Medicine"/>
    <s v="Dr. Priya"/>
    <d v="2025-05-24T00:00:00"/>
    <d v="2025-06-02T00:00:00"/>
    <n v="110568"/>
    <s v="None"/>
    <s v="Cash"/>
    <x v="4"/>
    <s v="Under Treatment"/>
    <n v="2"/>
  </r>
  <r>
    <s v="P0951"/>
    <n v="37"/>
    <s v="Male"/>
    <s v="Cardiac"/>
    <s v="Neurology"/>
    <s v="Dr. Arun"/>
    <d v="2025-04-26T00:00:00"/>
    <d v="2025-04-30T00:00:00"/>
    <n v="57819"/>
    <s v="Government"/>
    <s v="Cash"/>
    <x v="4"/>
    <s v="Follow-up"/>
    <n v="4"/>
  </r>
  <r>
    <s v="P0952"/>
    <n v="45"/>
    <s v="Female"/>
    <s v="Respiratory"/>
    <s v="Cardiology"/>
    <s v="Dr. Kumar"/>
    <d v="2024-01-12T00:00:00"/>
    <d v="2024-01-23T00:00:00"/>
    <n v="232993"/>
    <s v="None"/>
    <s v="Card"/>
    <x v="3"/>
    <s v="Follow-up"/>
    <n v="1"/>
  </r>
  <r>
    <s v="P0953"/>
    <n v="84"/>
    <s v="Female"/>
    <s v="Cancer"/>
    <s v="Orthopedics"/>
    <s v="Dr. Kumar"/>
    <d v="2025-08-13T00:00:00"/>
    <d v="2025-08-22T00:00:00"/>
    <n v="45533"/>
    <s v="Government"/>
    <s v="Insurance Claim"/>
    <x v="4"/>
    <s v="Follow-up"/>
    <n v="5"/>
  </r>
  <r>
    <s v="P0954"/>
    <n v="45"/>
    <s v="Female"/>
    <s v="Neurological"/>
    <s v="Cardiology"/>
    <s v="Dr. Arun"/>
    <d v="2024-03-31T00:00:00"/>
    <d v="2024-04-05T00:00:00"/>
    <n v="206192"/>
    <s v="None"/>
    <s v="Cash"/>
    <x v="0"/>
    <s v="Follow-up"/>
    <n v="3"/>
  </r>
  <r>
    <s v="P0955"/>
    <n v="35"/>
    <s v="Female"/>
    <s v="Neurological"/>
    <s v="Cardiology"/>
    <s v="Dr. Arun"/>
    <d v="2024-11-11T00:00:00"/>
    <d v="2024-11-30T00:00:00"/>
    <n v="72964"/>
    <s v="Government"/>
    <s v="Insurance Claim"/>
    <x v="1"/>
    <s v="Under Treatment"/>
    <n v="4"/>
  </r>
  <r>
    <s v="P0956"/>
    <n v="43"/>
    <s v="Male"/>
    <s v="Cardiac"/>
    <s v="Neurology"/>
    <s v="Dr. Priya"/>
    <d v="2024-01-16T00:00:00"/>
    <d v="2024-01-26T00:00:00"/>
    <n v="176705"/>
    <s v="Private"/>
    <s v="Cash"/>
    <x v="4"/>
    <s v="Under Treatment"/>
    <n v="2"/>
  </r>
  <r>
    <s v="P0957"/>
    <n v="28"/>
    <s v="Male"/>
    <s v="Respiratory"/>
    <s v="Pulmonology"/>
    <s v="Dr. Meena"/>
    <d v="2024-01-06T00:00:00"/>
    <d v="2024-01-22T00:00:00"/>
    <n v="109480"/>
    <s v="None"/>
    <s v="Cash"/>
    <x v="3"/>
    <s v="Under Treatment"/>
    <n v="3"/>
  </r>
  <r>
    <s v="P0958"/>
    <n v="84"/>
    <s v="Male"/>
    <s v="Orthopedic"/>
    <s v="Orthopedics"/>
    <s v="Dr. Priya"/>
    <d v="2025-07-23T00:00:00"/>
    <d v="2025-07-30T00:00:00"/>
    <n v="5409"/>
    <s v="Government"/>
    <s v="Cash"/>
    <x v="2"/>
    <s v="Under Treatment"/>
    <n v="4"/>
  </r>
  <r>
    <s v="P0959"/>
    <n v="47"/>
    <s v="Female"/>
    <s v="Diabetes"/>
    <s v="Neurology"/>
    <s v="Dr. Arun"/>
    <d v="2024-08-12T00:00:00"/>
    <d v="2024-08-28T00:00:00"/>
    <n v="15511"/>
    <s v="None"/>
    <s v="Insurance Claim"/>
    <x v="3"/>
    <s v="Follow-up"/>
    <n v="3"/>
  </r>
  <r>
    <s v="P0960"/>
    <n v="68"/>
    <s v="Male"/>
    <s v="Cardiac"/>
    <s v="Oncology"/>
    <s v="Dr. Raj"/>
    <d v="2024-01-11T00:00:00"/>
    <d v="2024-01-27T00:00:00"/>
    <n v="237353"/>
    <s v="Government"/>
    <s v="UPI"/>
    <x v="0"/>
    <s v="Recovered"/>
    <n v="3"/>
  </r>
  <r>
    <s v="P0961"/>
    <n v="81"/>
    <s v="Female"/>
    <s v="Orthopedic"/>
    <s v="Neurology"/>
    <s v="Dr. Meena"/>
    <d v="2025-11-06T00:00:00"/>
    <d v="2025-11-17T00:00:00"/>
    <n v="76737"/>
    <s v="None"/>
    <s v="Insurance Claim"/>
    <x v="2"/>
    <s v="Recovered"/>
    <n v="4"/>
  </r>
  <r>
    <s v="P0962"/>
    <n v="80"/>
    <s v="Female"/>
    <s v="Orthopedic"/>
    <s v="Oncology"/>
    <s v="Dr. Priya"/>
    <d v="2025-04-25T00:00:00"/>
    <d v="2025-05-05T00:00:00"/>
    <n v="185394"/>
    <s v="Government"/>
    <s v="Card"/>
    <x v="3"/>
    <s v="Recovered"/>
    <n v="3"/>
  </r>
  <r>
    <s v="P0963"/>
    <n v="30"/>
    <s v="Male"/>
    <s v="Respiratory"/>
    <s v="Orthopedics"/>
    <s v="Dr. Priya"/>
    <d v="2024-09-15T00:00:00"/>
    <d v="2024-09-29T00:00:00"/>
    <n v="62058"/>
    <s v="Private"/>
    <s v="UPI"/>
    <x v="4"/>
    <s v="Follow-up"/>
    <n v="1"/>
  </r>
  <r>
    <s v="P0964"/>
    <n v="49"/>
    <s v="Male"/>
    <s v="Respiratory"/>
    <s v="Cardiology"/>
    <s v="Dr. Raj"/>
    <d v="2025-03-17T00:00:00"/>
    <d v="2025-04-04T00:00:00"/>
    <n v="57197"/>
    <s v="Private"/>
    <s v="UPI"/>
    <x v="2"/>
    <s v="Recovered"/>
    <n v="5"/>
  </r>
  <r>
    <s v="P0965"/>
    <n v="51"/>
    <s v="Female"/>
    <s v="Neurological"/>
    <s v="Oncology"/>
    <s v="Dr. Kumar"/>
    <d v="2025-04-08T00:00:00"/>
    <d v="2025-04-12T00:00:00"/>
    <n v="229178"/>
    <s v="None"/>
    <s v="Card"/>
    <x v="1"/>
    <s v="Follow-up"/>
    <n v="1"/>
  </r>
  <r>
    <s v="P0966"/>
    <n v="57"/>
    <s v="Female"/>
    <s v="Cancer"/>
    <s v="Pulmonology"/>
    <s v="Dr. Meena"/>
    <d v="2024-06-24T00:00:00"/>
    <d v="2024-07-05T00:00:00"/>
    <n v="24367"/>
    <s v="Corporate"/>
    <s v="Cash"/>
    <x v="3"/>
    <s v="Under Treatment"/>
    <n v="4"/>
  </r>
  <r>
    <s v="P0967"/>
    <n v="18"/>
    <s v="Female"/>
    <s v="Cancer"/>
    <s v="Orthopedics"/>
    <s v="Dr. Kumar"/>
    <d v="2025-11-30T00:00:00"/>
    <d v="2025-12-05T00:00:00"/>
    <n v="221049"/>
    <s v="None"/>
    <s v="Insurance Claim"/>
    <x v="3"/>
    <s v="Follow-up"/>
    <n v="2"/>
  </r>
  <r>
    <s v="P0968"/>
    <n v="46"/>
    <s v="Male"/>
    <s v="Diabetes"/>
    <s v="Orthopedics"/>
    <s v="Dr. Kumar"/>
    <d v="2024-11-05T00:00:00"/>
    <d v="2024-11-24T00:00:00"/>
    <n v="32238"/>
    <s v="Government"/>
    <s v="UPI"/>
    <x v="3"/>
    <s v="Recovered"/>
    <n v="2"/>
  </r>
  <r>
    <s v="P0969"/>
    <n v="37"/>
    <s v="Male"/>
    <s v="Neurological"/>
    <s v="General Medicine"/>
    <s v="Dr. Raj"/>
    <d v="2025-04-18T00:00:00"/>
    <d v="2025-04-29T00:00:00"/>
    <n v="169064"/>
    <s v="None"/>
    <s v="Card"/>
    <x v="3"/>
    <s v="Recovered"/>
    <n v="1"/>
  </r>
  <r>
    <s v="P0970"/>
    <n v="71"/>
    <s v="Male"/>
    <s v="Diabetes"/>
    <s v="Orthopedics"/>
    <s v="Dr. Priya"/>
    <d v="2025-12-01T00:00:00"/>
    <d v="2025-12-10T00:00:00"/>
    <n v="194536"/>
    <s v="Corporate"/>
    <s v="Cash"/>
    <x v="0"/>
    <s v="Under Treatment"/>
    <n v="3"/>
  </r>
  <r>
    <s v="P0971"/>
    <n v="73"/>
    <s v="Female"/>
    <s v="Infection"/>
    <s v="Oncology"/>
    <s v="Dr. Priya"/>
    <d v="2025-06-26T00:00:00"/>
    <d v="2025-07-13T00:00:00"/>
    <n v="6542"/>
    <s v="Corporate"/>
    <s v="Cash"/>
    <x v="2"/>
    <s v="Under Treatment"/>
    <n v="1"/>
  </r>
  <r>
    <s v="P0972"/>
    <n v="81"/>
    <s v="Male"/>
    <s v="Cardiac"/>
    <s v="Orthopedics"/>
    <s v="Dr. Meena"/>
    <d v="2025-11-16T00:00:00"/>
    <d v="2025-11-22T00:00:00"/>
    <n v="121864"/>
    <s v="Government"/>
    <s v="Insurance Claim"/>
    <x v="2"/>
    <s v="Follow-up"/>
    <n v="3"/>
  </r>
  <r>
    <s v="P0973"/>
    <n v="76"/>
    <s v="Female"/>
    <s v="Respiratory"/>
    <s v="Pulmonology"/>
    <s v="Dr. Kumar"/>
    <d v="2024-06-05T00:00:00"/>
    <d v="2024-06-18T00:00:00"/>
    <n v="128447"/>
    <s v="None"/>
    <s v="Card"/>
    <x v="2"/>
    <s v="Follow-up"/>
    <n v="2"/>
  </r>
  <r>
    <s v="P0974"/>
    <n v="49"/>
    <s v="Male"/>
    <s v="Respiratory"/>
    <s v="Orthopedics"/>
    <s v="Dr. Kumar"/>
    <d v="2024-09-21T00:00:00"/>
    <d v="2024-10-03T00:00:00"/>
    <n v="66051"/>
    <s v="None"/>
    <s v="Cash"/>
    <x v="1"/>
    <s v="Recovered"/>
    <n v="5"/>
  </r>
  <r>
    <s v="P0975"/>
    <n v="37"/>
    <s v="Female"/>
    <s v="Cardiac"/>
    <s v="Oncology"/>
    <s v="Dr. Kumar"/>
    <d v="2025-03-08T00:00:00"/>
    <d v="2025-03-17T00:00:00"/>
    <n v="9381"/>
    <s v="None"/>
    <s v="UPI"/>
    <x v="1"/>
    <s v="Recovered"/>
    <n v="5"/>
  </r>
  <r>
    <s v="P0976"/>
    <n v="44"/>
    <s v="Male"/>
    <s v="Orthopedic"/>
    <s v="Cardiology"/>
    <s v="Dr. Priya"/>
    <d v="2025-07-21T00:00:00"/>
    <d v="2025-08-04T00:00:00"/>
    <n v="40202"/>
    <s v="None"/>
    <s v="Insurance Claim"/>
    <x v="1"/>
    <s v="Under Treatment"/>
    <n v="2"/>
  </r>
  <r>
    <s v="P0977"/>
    <n v="74"/>
    <s v="Female"/>
    <s v="Orthopedic"/>
    <s v="General Medicine"/>
    <s v="Dr. Raj"/>
    <d v="2025-09-03T00:00:00"/>
    <d v="2025-09-20T00:00:00"/>
    <n v="206561"/>
    <s v="Private"/>
    <s v="UPI"/>
    <x v="4"/>
    <s v="Follow-up"/>
    <n v="5"/>
  </r>
  <r>
    <s v="P0978"/>
    <n v="59"/>
    <s v="Female"/>
    <s v="Diabetes"/>
    <s v="General Medicine"/>
    <s v="Dr. Raj"/>
    <d v="2025-05-18T00:00:00"/>
    <d v="2025-05-29T00:00:00"/>
    <n v="59281"/>
    <s v="Private"/>
    <s v="Insurance Claim"/>
    <x v="3"/>
    <s v="Recovered"/>
    <n v="4"/>
  </r>
  <r>
    <s v="P0979"/>
    <n v="43"/>
    <s v="Female"/>
    <s v="Cardiac"/>
    <s v="Neurology"/>
    <s v="Dr. Priya"/>
    <d v="2024-12-17T00:00:00"/>
    <d v="2024-12-22T00:00:00"/>
    <n v="205807"/>
    <s v="Government"/>
    <s v="Insurance Claim"/>
    <x v="3"/>
    <s v="Recovered"/>
    <n v="5"/>
  </r>
  <r>
    <s v="P0980"/>
    <n v="66"/>
    <s v="Female"/>
    <s v="Cancer"/>
    <s v="Orthopedics"/>
    <s v="Dr. Meena"/>
    <d v="2024-04-14T00:00:00"/>
    <d v="2024-04-26T00:00:00"/>
    <n v="190766"/>
    <s v="Private"/>
    <s v="UPI"/>
    <x v="4"/>
    <s v="Follow-up"/>
    <n v="1"/>
  </r>
  <r>
    <s v="P0981"/>
    <n v="63"/>
    <s v="Male"/>
    <s v="Diabetes"/>
    <s v="General Medicine"/>
    <s v="Dr. Priya"/>
    <d v="2024-06-08T00:00:00"/>
    <d v="2024-06-14T00:00:00"/>
    <n v="93247"/>
    <s v="Government"/>
    <s v="Insurance Claim"/>
    <x v="1"/>
    <s v="Follow-up"/>
    <n v="3"/>
  </r>
  <r>
    <s v="P0982"/>
    <n v="39"/>
    <s v="Female"/>
    <s v="Orthopedic"/>
    <s v="Neurology"/>
    <s v="Dr. Priya"/>
    <d v="2025-08-17T00:00:00"/>
    <d v="2025-08-21T00:00:00"/>
    <n v="91904"/>
    <s v="Corporate"/>
    <s v="Card"/>
    <x v="1"/>
    <s v="Under Treatment"/>
    <n v="2"/>
  </r>
  <r>
    <s v="P0983"/>
    <n v="78"/>
    <s v="Female"/>
    <s v="Orthopedic"/>
    <s v="Orthopedics"/>
    <s v="Dr. Arun"/>
    <d v="2024-10-14T00:00:00"/>
    <d v="2024-10-26T00:00:00"/>
    <n v="221317"/>
    <s v="Corporate"/>
    <s v="Insurance Claim"/>
    <x v="4"/>
    <s v="Follow-up"/>
    <n v="3"/>
  </r>
  <r>
    <s v="P0984"/>
    <n v="52"/>
    <s v="Female"/>
    <s v="Orthopedic"/>
    <s v="Neurology"/>
    <s v="Dr. Meena"/>
    <d v="2024-11-18T00:00:00"/>
    <d v="2024-11-23T00:00:00"/>
    <n v="89222"/>
    <s v="Government"/>
    <s v="Insurance Claim"/>
    <x v="2"/>
    <s v="Recovered"/>
    <n v="5"/>
  </r>
  <r>
    <s v="P0985"/>
    <n v="83"/>
    <s v="Female"/>
    <s v="Respiratory"/>
    <s v="General Medicine"/>
    <s v="Dr. Arun"/>
    <d v="2025-04-30T00:00:00"/>
    <d v="2025-05-09T00:00:00"/>
    <n v="73182"/>
    <s v="Government"/>
    <s v="Card"/>
    <x v="4"/>
    <s v="Under Treatment"/>
    <n v="5"/>
  </r>
  <r>
    <s v="P0986"/>
    <n v="54"/>
    <s v="Male"/>
    <s v="Cardiac"/>
    <s v="Pulmonology"/>
    <s v="Dr. Kumar"/>
    <d v="2024-12-11T00:00:00"/>
    <d v="2024-12-23T00:00:00"/>
    <n v="229679"/>
    <s v="Corporate"/>
    <s v="Card"/>
    <x v="3"/>
    <s v="Recovered"/>
    <n v="5"/>
  </r>
  <r>
    <s v="P0987"/>
    <n v="62"/>
    <s v="Female"/>
    <s v="Cardiac"/>
    <s v="Neurology"/>
    <s v="Dr. Kumar"/>
    <d v="2024-10-24T00:00:00"/>
    <d v="2024-11-07T00:00:00"/>
    <n v="188168"/>
    <s v="Government"/>
    <s v="Card"/>
    <x v="4"/>
    <s v="Recovered"/>
    <n v="3"/>
  </r>
  <r>
    <s v="P0988"/>
    <n v="36"/>
    <s v="Female"/>
    <s v="Infection"/>
    <s v="Oncology"/>
    <s v="Dr. Meena"/>
    <d v="2025-03-27T00:00:00"/>
    <d v="2025-03-30T00:00:00"/>
    <n v="17151"/>
    <s v="Corporate"/>
    <s v="Insurance Claim"/>
    <x v="0"/>
    <s v="Under Treatment"/>
    <n v="1"/>
  </r>
  <r>
    <s v="P0989"/>
    <n v="81"/>
    <s v="Female"/>
    <s v="Infection"/>
    <s v="Neurology"/>
    <s v="Dr. Arun"/>
    <d v="2025-07-09T00:00:00"/>
    <d v="2025-07-10T00:00:00"/>
    <n v="236780"/>
    <s v="None"/>
    <s v="Cash"/>
    <x v="2"/>
    <s v="Follow-up"/>
    <n v="2"/>
  </r>
  <r>
    <s v="P0990"/>
    <n v="57"/>
    <s v="Female"/>
    <s v="Cancer"/>
    <s v="Orthopedics"/>
    <s v="Dr. Meena"/>
    <d v="2025-12-14T00:00:00"/>
    <d v="2025-12-18T00:00:00"/>
    <n v="20827"/>
    <s v="Government"/>
    <s v="UPI"/>
    <x v="1"/>
    <s v="Under Treatment"/>
    <n v="3"/>
  </r>
  <r>
    <s v="P0991"/>
    <n v="75"/>
    <s v="Male"/>
    <s v="Respiratory"/>
    <s v="Neurology"/>
    <s v="Dr. Priya"/>
    <d v="2024-03-07T00:00:00"/>
    <d v="2024-03-13T00:00:00"/>
    <n v="10154"/>
    <s v="None"/>
    <s v="Cash"/>
    <x v="3"/>
    <s v="Recovered"/>
    <n v="2"/>
  </r>
  <r>
    <s v="P0992"/>
    <n v="63"/>
    <s v="Male"/>
    <s v="Respiratory"/>
    <s v="General Medicine"/>
    <s v="Dr. Kumar"/>
    <d v="2025-06-24T00:00:00"/>
    <d v="2025-07-06T00:00:00"/>
    <n v="121530"/>
    <s v="None"/>
    <s v="UPI"/>
    <x v="2"/>
    <s v="Follow-up"/>
    <n v="1"/>
  </r>
  <r>
    <s v="P0993"/>
    <n v="49"/>
    <s v="Male"/>
    <s v="Orthopedic"/>
    <s v="Cardiology"/>
    <s v="Dr. Priya"/>
    <d v="2025-01-05T00:00:00"/>
    <d v="2025-01-09T00:00:00"/>
    <n v="58437"/>
    <s v="Government"/>
    <s v="Card"/>
    <x v="0"/>
    <s v="Under Treatment"/>
    <n v="3"/>
  </r>
  <r>
    <s v="P0994"/>
    <n v="78"/>
    <s v="Female"/>
    <s v="Cardiac"/>
    <s v="Neurology"/>
    <s v="Dr. Meena"/>
    <d v="2024-08-01T00:00:00"/>
    <d v="2024-08-09T00:00:00"/>
    <n v="120656"/>
    <s v="Private"/>
    <s v="Card"/>
    <x v="2"/>
    <s v="Under Treatment"/>
    <n v="2"/>
  </r>
  <r>
    <s v="P0995"/>
    <n v="25"/>
    <s v="Male"/>
    <s v="Neurological"/>
    <s v="Orthopedics"/>
    <s v="Dr. Kumar"/>
    <d v="2024-05-06T00:00:00"/>
    <d v="2024-05-20T00:00:00"/>
    <n v="119204"/>
    <s v="None"/>
    <s v="Card"/>
    <x v="1"/>
    <s v="Follow-up"/>
    <n v="1"/>
  </r>
  <r>
    <s v="P0996"/>
    <n v="57"/>
    <s v="Female"/>
    <s v="Infection"/>
    <s v="General Medicine"/>
    <s v="Dr. Raj"/>
    <d v="2025-03-29T00:00:00"/>
    <d v="2025-04-02T00:00:00"/>
    <n v="242736"/>
    <s v="Corporate"/>
    <s v="Card"/>
    <x v="2"/>
    <s v="Follow-up"/>
    <n v="4"/>
  </r>
  <r>
    <s v="P0997"/>
    <n v="64"/>
    <s v="Male"/>
    <s v="Orthopedic"/>
    <s v="Neurology"/>
    <s v="Dr. Meena"/>
    <d v="2024-04-01T00:00:00"/>
    <d v="2024-04-16T00:00:00"/>
    <n v="159821"/>
    <s v="Corporate"/>
    <s v="Card"/>
    <x v="0"/>
    <s v="Under Treatment"/>
    <n v="5"/>
  </r>
  <r>
    <s v="P0998"/>
    <n v="23"/>
    <s v="Male"/>
    <s v="Infection"/>
    <s v="Neurology"/>
    <s v="Dr. Meena"/>
    <d v="2025-06-30T00:00:00"/>
    <d v="2025-07-05T00:00:00"/>
    <n v="233374"/>
    <s v="Private"/>
    <s v="Insurance Claim"/>
    <x v="3"/>
    <s v="Under Treatment"/>
    <n v="3"/>
  </r>
  <r>
    <s v="P0999"/>
    <n v="19"/>
    <s v="Male"/>
    <s v="Cancer"/>
    <s v="Oncology"/>
    <s v="Dr. Raj"/>
    <d v="2025-12-05T00:00:00"/>
    <d v="2025-12-15T00:00:00"/>
    <n v="177715"/>
    <s v="Private"/>
    <s v="Card"/>
    <x v="4"/>
    <s v="Under Treatment"/>
    <n v="2"/>
  </r>
  <r>
    <s v="P1000"/>
    <n v="80"/>
    <s v="Male"/>
    <s v="Infection"/>
    <s v="Oncology"/>
    <s v="Dr. Meena"/>
    <d v="2025-04-20T00:00:00"/>
    <d v="2025-04-24T00:00:00"/>
    <n v="93407"/>
    <s v="Corporate"/>
    <s v="Insurance Claim"/>
    <x v="1"/>
    <s v="Under Treatment"/>
    <n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3">
  <r>
    <s v="P0001"/>
    <n v="62"/>
    <s v="Male"/>
    <s v="Cardiac"/>
    <s v="Oncology"/>
    <s v="Dr. Kumar"/>
    <d v="2024-04-27T00:00:00"/>
    <d v="2024-05-01T00:00:00"/>
    <n v="241427"/>
    <s v="Corporate"/>
    <s v="Card"/>
    <x v="0"/>
    <s v="Recovered"/>
    <n v="5"/>
    <m/>
    <m/>
    <m/>
    <m/>
    <s v="diabetes"/>
    <n v="130"/>
    <m/>
    <s v="Patients_without_insurance"/>
    <n v="261"/>
    <n v="4"/>
    <m/>
    <n v="125383061"/>
    <n v="124977"/>
    <x v="0"/>
  </r>
  <r>
    <s v="P0002"/>
    <n v="76"/>
    <s v="Female"/>
    <s v="Neurological"/>
    <s v="Cardiology"/>
    <s v="Dr. Arun"/>
    <d v="2025-09-17T00:00:00"/>
    <d v="2025-09-26T00:00:00"/>
    <n v="181509"/>
    <s v="None"/>
    <s v="Insurance Claim"/>
    <x v="0"/>
    <s v="Recovered"/>
    <n v="3"/>
    <m/>
    <s v="max_age"/>
    <n v="85"/>
    <m/>
    <s v="cancer"/>
    <n v="143"/>
    <m/>
    <s v="Total_Patients"/>
    <n v="998"/>
    <n v="9"/>
    <m/>
    <m/>
    <m/>
    <x v="1"/>
  </r>
  <r>
    <s v="P0003"/>
    <n v="42"/>
    <s v="Male"/>
    <s v="Diabetes"/>
    <s v="Pulmonology"/>
    <s v="Dr. Kumar"/>
    <d v="2025-12-25T00:00:00"/>
    <d v="2025-12-31T00:00:00"/>
    <n v="197135"/>
    <s v="Corporate"/>
    <s v="Insurance Claim"/>
    <x v="1"/>
    <s v="Recovered"/>
    <n v="1"/>
    <m/>
    <m/>
    <m/>
    <m/>
    <s v="others"/>
    <n v="599"/>
    <m/>
    <m/>
    <m/>
    <n v="12"/>
    <m/>
    <m/>
    <m/>
    <x v="2"/>
  </r>
  <r>
    <s v="P0004"/>
    <n v="54"/>
    <s v="Female"/>
    <s v="Diabetes"/>
    <s v="General Medicine"/>
    <s v="Dr. Raj"/>
    <d v="2025-02-13T00:00:00"/>
    <d v="2025-02-23T00:00:00"/>
    <n v="214468"/>
    <s v="Government"/>
    <s v="Card"/>
    <x v="1"/>
    <s v="Follow-up"/>
    <n v="3"/>
    <m/>
    <s v="min_Age"/>
    <n v="18"/>
    <m/>
    <m/>
    <m/>
    <m/>
    <m/>
    <m/>
    <n v="2"/>
    <m/>
    <m/>
    <m/>
    <x v="3"/>
  </r>
  <r>
    <s v="P0005"/>
    <n v="74"/>
    <s v="Male"/>
    <s v="Cardiac"/>
    <s v="Orthopedics"/>
    <s v="Dr. Meena"/>
    <d v="2024-01-03T00:00:00"/>
    <d v="2024-01-18T00:00:00"/>
    <n v="158741"/>
    <s v="None"/>
    <s v="UPI"/>
    <x v="2"/>
    <s v="Recovered"/>
    <n v="5"/>
    <m/>
    <m/>
    <m/>
    <m/>
    <m/>
    <m/>
    <m/>
    <m/>
    <m/>
    <n v="1"/>
    <m/>
    <m/>
    <m/>
    <x v="4"/>
  </r>
  <r>
    <s v="P0006"/>
    <n v="53"/>
    <s v="Male"/>
    <s v="Respiratory"/>
    <s v="Cardiology"/>
    <s v="Dr. Kumar"/>
    <d v="2024-05-08T00:00:00"/>
    <d v="2024-05-21T00:00:00"/>
    <n v="210069"/>
    <s v="Corporate"/>
    <s v="Card"/>
    <x v="3"/>
    <s v="Recovered"/>
    <n v="3"/>
    <m/>
    <m/>
    <m/>
    <m/>
    <m/>
    <m/>
    <m/>
    <m/>
    <m/>
    <n v="5"/>
    <m/>
    <m/>
    <m/>
    <x v="5"/>
  </r>
  <r>
    <s v="P0007"/>
    <n v="35"/>
    <s v="Female"/>
    <s v="Diabetes"/>
    <s v="Oncology"/>
    <s v="Dr. Meena"/>
    <d v="2025-05-16T00:00:00"/>
    <d v="2025-06-04T00:00:00"/>
    <n v="60975"/>
    <s v="Corporate"/>
    <s v="Card"/>
    <x v="4"/>
    <s v="Follow-up"/>
    <n v="3"/>
    <m/>
    <m/>
    <m/>
    <m/>
    <m/>
    <m/>
    <m/>
    <m/>
    <m/>
    <n v="5"/>
    <m/>
    <m/>
    <m/>
    <x v="5"/>
  </r>
  <r>
    <s v="P0008"/>
    <n v="63"/>
    <s v="Female"/>
    <s v="Orthopedic"/>
    <s v="Neurology"/>
    <s v="Dr. Arun"/>
    <d v="2025-11-12T00:00:00"/>
    <d v="2025-11-26T00:00:00"/>
    <n v="58206"/>
    <s v="Corporate"/>
    <s v="Card"/>
    <x v="4"/>
    <s v="Recovered"/>
    <n v="2"/>
    <m/>
    <m/>
    <m/>
    <m/>
    <m/>
    <m/>
    <m/>
    <m/>
    <m/>
    <n v="11"/>
    <m/>
    <m/>
    <m/>
    <x v="6"/>
  </r>
  <r>
    <s v="P0009"/>
    <n v="56"/>
    <s v="Male"/>
    <s v="Infection"/>
    <s v="Oncology"/>
    <s v="Dr. Raj"/>
    <d v="2024-12-22T00:00:00"/>
    <d v="2024-12-27T00:00:00"/>
    <n v="108460"/>
    <s v="None"/>
    <s v="Card"/>
    <x v="2"/>
    <s v="Follow-up"/>
    <n v="5"/>
    <m/>
    <m/>
    <m/>
    <m/>
    <m/>
    <m/>
    <m/>
    <m/>
    <m/>
    <n v="12"/>
    <m/>
    <m/>
    <m/>
    <x v="2"/>
  </r>
  <r>
    <s v="P0010"/>
    <n v="26"/>
    <s v="Female"/>
    <s v="Cardiac"/>
    <s v="Oncology"/>
    <s v="Dr. Meena"/>
    <d v="2024-12-23T00:00:00"/>
    <d v="2025-01-03T00:00:00"/>
    <n v="221018"/>
    <s v="Corporate"/>
    <s v="Insurance Claim"/>
    <x v="3"/>
    <s v="Recovered"/>
    <n v="4"/>
    <m/>
    <m/>
    <m/>
    <m/>
    <m/>
    <m/>
    <m/>
    <m/>
    <m/>
    <n v="12"/>
    <m/>
    <m/>
    <m/>
    <x v="2"/>
  </r>
  <r>
    <s v="P0011"/>
    <n v="77"/>
    <s v="Male"/>
    <s v="Orthopedic"/>
    <s v="Oncology"/>
    <s v="Dr. Priya"/>
    <d v="2024-09-26T00:00:00"/>
    <d v="2024-10-10T00:00:00"/>
    <n v="156581"/>
    <s v="None"/>
    <s v="UPI"/>
    <x v="4"/>
    <s v="Follow-up"/>
    <n v="3"/>
    <m/>
    <m/>
    <m/>
    <m/>
    <m/>
    <m/>
    <m/>
    <m/>
    <m/>
    <n v="9"/>
    <m/>
    <m/>
    <m/>
    <x v="1"/>
  </r>
  <r>
    <s v="P0012"/>
    <n v="62"/>
    <s v="Male"/>
    <s v="Cancer"/>
    <s v="Cardiology"/>
    <s v="Dr. Priya"/>
    <d v="2025-04-15T00:00:00"/>
    <d v="2025-04-16T00:00:00"/>
    <n v="181788"/>
    <s v="None"/>
    <s v="UPI"/>
    <x v="2"/>
    <s v="Recovered"/>
    <n v="2"/>
    <m/>
    <m/>
    <m/>
    <m/>
    <m/>
    <m/>
    <m/>
    <m/>
    <m/>
    <n v="4"/>
    <m/>
    <m/>
    <m/>
    <x v="0"/>
  </r>
  <r>
    <s v="P0013"/>
    <n v="26"/>
    <s v="Female"/>
    <s v="Cardiac"/>
    <s v="Neurology"/>
    <s v="Dr. Kumar"/>
    <d v="2024-07-26T00:00:00"/>
    <d v="2024-08-02T00:00:00"/>
    <n v="26559"/>
    <s v="Corporate"/>
    <s v="UPI"/>
    <x v="3"/>
    <s v="Follow-up"/>
    <n v="4"/>
    <m/>
    <m/>
    <m/>
    <m/>
    <m/>
    <m/>
    <m/>
    <m/>
    <m/>
    <n v="7"/>
    <m/>
    <m/>
    <m/>
    <x v="7"/>
  </r>
  <r>
    <s v="P0014"/>
    <n v="37"/>
    <s v="Male"/>
    <s v="Cancer"/>
    <s v="Neurology"/>
    <s v="Dr. Priya"/>
    <d v="2024-07-23T00:00:00"/>
    <d v="2024-08-07T00:00:00"/>
    <n v="37951"/>
    <s v="Private"/>
    <s v="Card"/>
    <x v="4"/>
    <s v="Follow-up"/>
    <n v="4"/>
    <m/>
    <m/>
    <m/>
    <m/>
    <m/>
    <m/>
    <m/>
    <m/>
    <m/>
    <n v="7"/>
    <m/>
    <m/>
    <m/>
    <x v="7"/>
  </r>
  <r>
    <s v="P0015"/>
    <n v="24"/>
    <s v="Female"/>
    <s v="Neurological"/>
    <s v="Cardiology"/>
    <s v="Dr. Raj"/>
    <d v="2024-02-16T00:00:00"/>
    <d v="2024-02-17T00:00:00"/>
    <n v="128687"/>
    <s v="None"/>
    <s v="Cash"/>
    <x v="2"/>
    <s v="Under Treatment"/>
    <n v="2"/>
    <m/>
    <m/>
    <m/>
    <m/>
    <m/>
    <m/>
    <m/>
    <m/>
    <m/>
    <n v="2"/>
    <m/>
    <m/>
    <m/>
    <x v="3"/>
  </r>
  <r>
    <s v="P0016"/>
    <n v="53"/>
    <s v="Male"/>
    <s v="Cancer"/>
    <s v="Oncology"/>
    <s v="Dr. Meena"/>
    <d v="2024-05-05T00:00:00"/>
    <d v="2024-05-11T00:00:00"/>
    <n v="182464"/>
    <s v="Private"/>
    <s v="Cash"/>
    <x v="2"/>
    <s v="Under Treatment"/>
    <n v="5"/>
    <m/>
    <m/>
    <m/>
    <m/>
    <m/>
    <m/>
    <m/>
    <m/>
    <m/>
    <n v="5"/>
    <m/>
    <m/>
    <m/>
    <x v="5"/>
  </r>
  <r>
    <s v="P0017"/>
    <n v="40"/>
    <s v="Female"/>
    <s v="Neurological"/>
    <s v="Cardiology"/>
    <s v="Dr. Arun"/>
    <d v="2025-11-02T00:00:00"/>
    <d v="2025-11-06T00:00:00"/>
    <n v="224069"/>
    <s v="Government"/>
    <s v="UPI"/>
    <x v="0"/>
    <s v="Follow-up"/>
    <n v="4"/>
    <m/>
    <m/>
    <m/>
    <m/>
    <m/>
    <m/>
    <m/>
    <m/>
    <m/>
    <n v="11"/>
    <m/>
    <m/>
    <m/>
    <x v="6"/>
  </r>
  <r>
    <s v="P0018"/>
    <n v="77"/>
    <s v="Male"/>
    <s v="Respiratory"/>
    <s v="Pulmonology"/>
    <s v="Dr. Meena"/>
    <d v="2024-11-13T00:00:00"/>
    <d v="2024-11-14T00:00:00"/>
    <n v="172896"/>
    <s v="Private"/>
    <s v="Insurance Claim"/>
    <x v="4"/>
    <s v="Follow-up"/>
    <n v="2"/>
    <m/>
    <m/>
    <m/>
    <m/>
    <m/>
    <m/>
    <m/>
    <m/>
    <m/>
    <n v="11"/>
    <m/>
    <m/>
    <m/>
    <x v="6"/>
  </r>
  <r>
    <s v="P0019"/>
    <n v="73"/>
    <s v="Male"/>
    <s v="Cardiac"/>
    <s v="Neurology"/>
    <s v="Dr. Meena"/>
    <d v="2025-10-03T00:00:00"/>
    <d v="2025-10-15T00:00:00"/>
    <n v="167948"/>
    <s v="Corporate"/>
    <s v="Insurance Claim"/>
    <x v="2"/>
    <s v="Under Treatment"/>
    <n v="2"/>
    <m/>
    <m/>
    <m/>
    <m/>
    <m/>
    <m/>
    <m/>
    <m/>
    <m/>
    <n v="10"/>
    <m/>
    <m/>
    <m/>
    <x v="8"/>
  </r>
  <r>
    <s v="P0020"/>
    <n v="63"/>
    <s v="Female"/>
    <s v="Infection"/>
    <s v="Cardiology"/>
    <s v="Dr. Raj"/>
    <d v="2025-09-01T00:00:00"/>
    <d v="2025-09-10T00:00:00"/>
    <n v="118480"/>
    <s v="Corporate"/>
    <s v="Insurance Claim"/>
    <x v="4"/>
    <s v="Recovered"/>
    <n v="1"/>
    <m/>
    <m/>
    <m/>
    <m/>
    <m/>
    <m/>
    <m/>
    <m/>
    <m/>
    <n v="9"/>
    <m/>
    <m/>
    <m/>
    <x v="1"/>
  </r>
  <r>
    <s v="P0021"/>
    <n v="30"/>
    <s v="Male"/>
    <s v="Diabetes"/>
    <s v="General Medicine"/>
    <s v="Dr. Arun"/>
    <d v="2025-07-19T00:00:00"/>
    <d v="2025-07-30T00:00:00"/>
    <n v="173147"/>
    <s v="Corporate"/>
    <s v="Cash"/>
    <x v="4"/>
    <s v="Recovered"/>
    <n v="5"/>
    <m/>
    <m/>
    <m/>
    <m/>
    <m/>
    <m/>
    <m/>
    <m/>
    <m/>
    <n v="7"/>
    <m/>
    <m/>
    <m/>
    <x v="7"/>
  </r>
  <r>
    <s v="P0022"/>
    <n v="52"/>
    <s v="Female"/>
    <s v="Infection"/>
    <s v="Cardiology"/>
    <s v="Dr. Arun"/>
    <d v="2024-04-20T00:00:00"/>
    <d v="2024-05-08T00:00:00"/>
    <n v="30702"/>
    <s v="Private"/>
    <s v="Card"/>
    <x v="0"/>
    <s v="Follow-up"/>
    <n v="1"/>
    <m/>
    <m/>
    <m/>
    <m/>
    <m/>
    <m/>
    <m/>
    <m/>
    <m/>
    <n v="4"/>
    <m/>
    <m/>
    <m/>
    <x v="0"/>
  </r>
  <r>
    <s v="P0023"/>
    <n v="52"/>
    <s v="Female"/>
    <s v="Cardiac"/>
    <s v="Orthopedics"/>
    <s v="Dr. Meena"/>
    <d v="2024-02-15T00:00:00"/>
    <d v="2024-03-06T00:00:00"/>
    <n v="143554"/>
    <s v="Government"/>
    <s v="Cash"/>
    <x v="3"/>
    <s v="Follow-up"/>
    <n v="3"/>
    <m/>
    <m/>
    <m/>
    <m/>
    <m/>
    <m/>
    <m/>
    <m/>
    <m/>
    <n v="2"/>
    <m/>
    <m/>
    <m/>
    <x v="3"/>
  </r>
  <r>
    <s v="P0024"/>
    <n v="28"/>
    <s v="Female"/>
    <s v="Infection"/>
    <s v="Neurology"/>
    <s v="Dr. Kumar"/>
    <d v="2024-03-23T00:00:00"/>
    <d v="2024-03-24T00:00:00"/>
    <n v="248306"/>
    <s v="None"/>
    <s v="Cash"/>
    <x v="2"/>
    <s v="Under Treatment"/>
    <n v="5"/>
    <m/>
    <m/>
    <m/>
    <m/>
    <m/>
    <m/>
    <m/>
    <m/>
    <m/>
    <n v="3"/>
    <m/>
    <m/>
    <m/>
    <x v="9"/>
  </r>
  <r>
    <s v="P0025"/>
    <n v="40"/>
    <s v="Female"/>
    <s v="Diabetes"/>
    <s v="General Medicine"/>
    <s v="Dr. Arun"/>
    <d v="2025-12-27T00:00:00"/>
    <d v="2026-01-03T00:00:00"/>
    <n v="227657"/>
    <s v="Government"/>
    <s v="Cash"/>
    <x v="2"/>
    <s v="Under Treatment"/>
    <n v="5"/>
    <m/>
    <m/>
    <m/>
    <m/>
    <m/>
    <m/>
    <m/>
    <m/>
    <m/>
    <n v="12"/>
    <m/>
    <m/>
    <m/>
    <x v="2"/>
  </r>
  <r>
    <s v="P0026"/>
    <n v="85"/>
    <s v="Male"/>
    <s v="Cardiac"/>
    <s v="General Medicine"/>
    <s v="Dr. Raj"/>
    <d v="2024-08-03T00:00:00"/>
    <d v="2024-08-04T00:00:00"/>
    <n v="158912"/>
    <s v="Private"/>
    <s v="UPI"/>
    <x v="3"/>
    <s v="Recovered"/>
    <n v="3"/>
    <m/>
    <m/>
    <m/>
    <m/>
    <m/>
    <m/>
    <m/>
    <m/>
    <m/>
    <n v="8"/>
    <m/>
    <m/>
    <m/>
    <x v="10"/>
  </r>
  <r>
    <s v="P0027"/>
    <n v="43"/>
    <s v="Female"/>
    <s v="Orthopedic"/>
    <s v="Neurology"/>
    <s v="Dr. Meena"/>
    <d v="2024-03-27T00:00:00"/>
    <d v="2024-04-08T00:00:00"/>
    <n v="74371"/>
    <s v="Private"/>
    <s v="Cash"/>
    <x v="0"/>
    <s v="Recovered"/>
    <n v="3"/>
    <m/>
    <m/>
    <m/>
    <m/>
    <m/>
    <m/>
    <m/>
    <m/>
    <m/>
    <n v="3"/>
    <m/>
    <m/>
    <m/>
    <x v="9"/>
  </r>
  <r>
    <s v="P0028"/>
    <n v="42"/>
    <s v="Female"/>
    <s v="Cancer"/>
    <s v="Neurology"/>
    <s v="Dr. Raj"/>
    <d v="2024-09-17T00:00:00"/>
    <d v="2024-10-02T00:00:00"/>
    <n v="51551"/>
    <s v="None"/>
    <s v="Card"/>
    <x v="0"/>
    <s v="Under Treatment"/>
    <n v="4"/>
    <m/>
    <m/>
    <m/>
    <m/>
    <m/>
    <m/>
    <m/>
    <m/>
    <m/>
    <n v="9"/>
    <m/>
    <m/>
    <m/>
    <x v="1"/>
  </r>
  <r>
    <s v="P0029"/>
    <n v="30"/>
    <s v="Female"/>
    <s v="Cancer"/>
    <s v="Neurology"/>
    <s v="Dr. Kumar"/>
    <d v="2025-07-02T00:00:00"/>
    <d v="2025-07-17T00:00:00"/>
    <n v="177627"/>
    <s v="Private"/>
    <s v="Insurance Claim"/>
    <x v="2"/>
    <s v="Follow-up"/>
    <n v="4"/>
    <m/>
    <m/>
    <m/>
    <m/>
    <m/>
    <m/>
    <m/>
    <m/>
    <m/>
    <n v="7"/>
    <m/>
    <m/>
    <m/>
    <x v="7"/>
  </r>
  <r>
    <s v="P0030"/>
    <n v="66"/>
    <s v="Female"/>
    <s v="Infection"/>
    <s v="Oncology"/>
    <s v="Dr. Arun"/>
    <d v="2025-12-03T00:00:00"/>
    <d v="2025-12-17T00:00:00"/>
    <n v="165074"/>
    <s v="Government"/>
    <s v="Card"/>
    <x v="4"/>
    <s v="Follow-up"/>
    <n v="4"/>
    <m/>
    <m/>
    <m/>
    <m/>
    <m/>
    <m/>
    <m/>
    <m/>
    <m/>
    <n v="12"/>
    <m/>
    <m/>
    <m/>
    <x v="2"/>
  </r>
  <r>
    <s v="P0031"/>
    <n v="20"/>
    <s v="Male"/>
    <s v="Cardiac"/>
    <s v="Pulmonology"/>
    <s v="Dr. Meena"/>
    <d v="2024-11-19T00:00:00"/>
    <d v="2024-12-06T00:00:00"/>
    <n v="81355"/>
    <s v="Private"/>
    <s v="Insurance Claim"/>
    <x v="1"/>
    <s v="Under Treatment"/>
    <n v="2"/>
    <m/>
    <m/>
    <m/>
    <m/>
    <m/>
    <m/>
    <m/>
    <m/>
    <m/>
    <n v="11"/>
    <m/>
    <m/>
    <m/>
    <x v="6"/>
  </r>
  <r>
    <s v="P0032"/>
    <n v="44"/>
    <s v="Female"/>
    <s v="Neurological"/>
    <s v="Neurology"/>
    <s v="Dr. Raj"/>
    <d v="2024-10-05T00:00:00"/>
    <d v="2024-10-21T00:00:00"/>
    <n v="221244"/>
    <s v="None"/>
    <s v="UPI"/>
    <x v="1"/>
    <s v="Recovered"/>
    <n v="4"/>
    <m/>
    <m/>
    <m/>
    <m/>
    <m/>
    <m/>
    <m/>
    <m/>
    <m/>
    <n v="10"/>
    <m/>
    <m/>
    <m/>
    <x v="8"/>
  </r>
  <r>
    <s v="P0033"/>
    <n v="84"/>
    <s v="Female"/>
    <s v="Neurological"/>
    <s v="General Medicine"/>
    <s v="Dr. Arun"/>
    <d v="2025-12-17T00:00:00"/>
    <d v="2025-12-18T00:00:00"/>
    <n v="243245"/>
    <s v="Government"/>
    <s v="Card"/>
    <x v="3"/>
    <s v="Recovered"/>
    <n v="1"/>
    <m/>
    <m/>
    <m/>
    <m/>
    <m/>
    <m/>
    <m/>
    <m/>
    <m/>
    <n v="12"/>
    <m/>
    <m/>
    <m/>
    <x v="2"/>
  </r>
  <r>
    <s v="P0034"/>
    <n v="46"/>
    <s v="Male"/>
    <s v="Cardiac"/>
    <s v="Pulmonology"/>
    <s v="Dr. Kumar"/>
    <d v="2024-07-27T00:00:00"/>
    <d v="2024-07-29T00:00:00"/>
    <n v="133732"/>
    <s v="Government"/>
    <s v="Cash"/>
    <x v="4"/>
    <s v="Recovered"/>
    <n v="5"/>
    <m/>
    <m/>
    <m/>
    <m/>
    <m/>
    <m/>
    <m/>
    <m/>
    <m/>
    <n v="7"/>
    <m/>
    <m/>
    <m/>
    <x v="7"/>
  </r>
  <r>
    <s v="P0035"/>
    <n v="50"/>
    <s v="Male"/>
    <s v="Orthopedic"/>
    <s v="Neurology"/>
    <s v="Dr. Arun"/>
    <d v="2025-08-31T00:00:00"/>
    <d v="2025-09-02T00:00:00"/>
    <n v="61245"/>
    <s v="Corporate"/>
    <s v="Cash"/>
    <x v="0"/>
    <s v="Recovered"/>
    <n v="3"/>
    <m/>
    <m/>
    <m/>
    <m/>
    <m/>
    <m/>
    <m/>
    <m/>
    <m/>
    <n v="8"/>
    <m/>
    <m/>
    <m/>
    <x v="10"/>
  </r>
  <r>
    <s v="P0036"/>
    <n v="69"/>
    <s v="Male"/>
    <s v="Cancer"/>
    <s v="Cardiology"/>
    <s v="Dr. Priya"/>
    <d v="2025-05-24T00:00:00"/>
    <d v="2025-06-13T00:00:00"/>
    <n v="215635"/>
    <s v="Corporate"/>
    <s v="Cash"/>
    <x v="2"/>
    <s v="Recovered"/>
    <n v="1"/>
    <m/>
    <m/>
    <m/>
    <m/>
    <m/>
    <m/>
    <m/>
    <m/>
    <m/>
    <n v="5"/>
    <m/>
    <m/>
    <m/>
    <x v="5"/>
  </r>
  <r>
    <s v="P0037"/>
    <n v="70"/>
    <s v="Female"/>
    <s v="Infection"/>
    <s v="Neurology"/>
    <s v="Dr. Priya"/>
    <d v="2025-02-01T00:00:00"/>
    <d v="2025-02-04T00:00:00"/>
    <n v="179932"/>
    <s v="Private"/>
    <s v="Cash"/>
    <x v="1"/>
    <s v="Follow-up"/>
    <n v="4"/>
    <m/>
    <m/>
    <m/>
    <m/>
    <m/>
    <m/>
    <m/>
    <m/>
    <m/>
    <n v="2"/>
    <m/>
    <m/>
    <m/>
    <x v="3"/>
  </r>
  <r>
    <s v="P0038"/>
    <n v="19"/>
    <s v="Female"/>
    <s v="Neurological"/>
    <s v="Cardiology"/>
    <s v="Dr. Kumar"/>
    <d v="2025-07-07T00:00:00"/>
    <d v="2025-07-15T00:00:00"/>
    <n v="125827"/>
    <s v="Private"/>
    <s v="Card"/>
    <x v="4"/>
    <s v="Recovered"/>
    <n v="1"/>
    <m/>
    <m/>
    <m/>
    <m/>
    <m/>
    <m/>
    <m/>
    <m/>
    <m/>
    <n v="7"/>
    <m/>
    <m/>
    <m/>
    <x v="7"/>
  </r>
  <r>
    <s v="P0039"/>
    <n v="80"/>
    <s v="Male"/>
    <s v="Cancer"/>
    <s v="Neurology"/>
    <s v="Dr. Kumar"/>
    <d v="2024-05-20T00:00:00"/>
    <d v="2024-05-26T00:00:00"/>
    <n v="127119"/>
    <s v="Corporate"/>
    <s v="UPI"/>
    <x v="1"/>
    <s v="Under Treatment"/>
    <n v="1"/>
    <m/>
    <m/>
    <m/>
    <m/>
    <m/>
    <m/>
    <m/>
    <m/>
    <m/>
    <n v="5"/>
    <m/>
    <m/>
    <m/>
    <x v="5"/>
  </r>
  <r>
    <s v="P0040"/>
    <n v="44"/>
    <s v="Female"/>
    <s v="Respiratory"/>
    <s v="General Medicine"/>
    <s v="Dr. Priya"/>
    <d v="2024-03-02T00:00:00"/>
    <d v="2024-03-05T00:00:00"/>
    <n v="135765"/>
    <s v="None"/>
    <s v="UPI"/>
    <x v="2"/>
    <s v="Under Treatment"/>
    <n v="3"/>
    <m/>
    <m/>
    <m/>
    <m/>
    <m/>
    <m/>
    <m/>
    <m/>
    <m/>
    <n v="3"/>
    <m/>
    <m/>
    <m/>
    <x v="9"/>
  </r>
  <r>
    <s v="P0041"/>
    <n v="31"/>
    <s v="Male"/>
    <s v="Cardiac"/>
    <s v="Orthopedics"/>
    <s v="Dr. Arun"/>
    <d v="2025-06-10T00:00:00"/>
    <d v="2025-06-28T00:00:00"/>
    <n v="109064"/>
    <s v="Corporate"/>
    <s v="Cash"/>
    <x v="3"/>
    <s v="Follow-up"/>
    <n v="1"/>
    <m/>
    <m/>
    <m/>
    <m/>
    <m/>
    <m/>
    <m/>
    <m/>
    <m/>
    <n v="6"/>
    <m/>
    <m/>
    <m/>
    <x v="11"/>
  </r>
  <r>
    <s v="P0042"/>
    <n v="26"/>
    <s v="Female"/>
    <s v="Cardiac"/>
    <s v="Pulmonology"/>
    <s v="Dr. Meena"/>
    <d v="2024-08-08T00:00:00"/>
    <d v="2024-08-10T00:00:00"/>
    <n v="69808"/>
    <s v="Private"/>
    <s v="Card"/>
    <x v="4"/>
    <s v="Under Treatment"/>
    <n v="1"/>
    <m/>
    <m/>
    <m/>
    <m/>
    <m/>
    <m/>
    <m/>
    <m/>
    <m/>
    <n v="8"/>
    <m/>
    <m/>
    <m/>
    <x v="10"/>
  </r>
  <r>
    <s v="P0043"/>
    <n v="29"/>
    <s v="Female"/>
    <s v="Neurological"/>
    <s v="Cardiology"/>
    <s v="Dr. Priya"/>
    <d v="2025-05-24T00:00:00"/>
    <d v="2025-06-09T00:00:00"/>
    <n v="20989"/>
    <s v="Private"/>
    <s v="Card"/>
    <x v="4"/>
    <s v="Under Treatment"/>
    <n v="4"/>
    <m/>
    <m/>
    <m/>
    <m/>
    <m/>
    <m/>
    <m/>
    <m/>
    <m/>
    <n v="5"/>
    <m/>
    <m/>
    <m/>
    <x v="5"/>
  </r>
  <r>
    <s v="P0044"/>
    <n v="51"/>
    <s v="Male"/>
    <s v="Orthopedic"/>
    <s v="Pulmonology"/>
    <s v="Dr. Arun"/>
    <d v="2025-09-25T00:00:00"/>
    <d v="2025-10-08T00:00:00"/>
    <n v="234701"/>
    <s v="None"/>
    <s v="Insurance Claim"/>
    <x v="4"/>
    <s v="Recovered"/>
    <n v="4"/>
    <m/>
    <m/>
    <m/>
    <m/>
    <m/>
    <m/>
    <m/>
    <m/>
    <m/>
    <n v="9"/>
    <m/>
    <m/>
    <m/>
    <x v="1"/>
  </r>
  <r>
    <s v="P0045"/>
    <n v="20"/>
    <s v="Female"/>
    <s v="Cancer"/>
    <s v="Oncology"/>
    <s v="Dr. Kumar"/>
    <d v="2024-04-15T00:00:00"/>
    <d v="2024-04-29T00:00:00"/>
    <n v="86070"/>
    <s v="Government"/>
    <s v="Cash"/>
    <x v="4"/>
    <s v="Follow-up"/>
    <n v="5"/>
    <m/>
    <m/>
    <m/>
    <m/>
    <m/>
    <m/>
    <m/>
    <m/>
    <m/>
    <n v="4"/>
    <m/>
    <m/>
    <m/>
    <x v="0"/>
  </r>
  <r>
    <s v="P0046"/>
    <n v="65"/>
    <s v="Female"/>
    <s v="Infection"/>
    <s v="Neurology"/>
    <s v="Dr. Meena"/>
    <d v="2024-10-29T00:00:00"/>
    <d v="2024-11-06T00:00:00"/>
    <n v="223210"/>
    <s v="Corporate"/>
    <s v="Cash"/>
    <x v="4"/>
    <s v="Recovered"/>
    <n v="3"/>
    <m/>
    <m/>
    <m/>
    <m/>
    <m/>
    <m/>
    <m/>
    <m/>
    <m/>
    <n v="10"/>
    <m/>
    <m/>
    <m/>
    <x v="8"/>
  </r>
  <r>
    <s v="P0047"/>
    <n v="28"/>
    <s v="Male"/>
    <s v="Orthopedic"/>
    <s v="Cardiology"/>
    <s v="Dr. Meena"/>
    <d v="2024-08-10T00:00:00"/>
    <d v="2024-08-29T00:00:00"/>
    <n v="232016"/>
    <s v="Government"/>
    <s v="UPI"/>
    <x v="4"/>
    <s v="Recovered"/>
    <n v="3"/>
    <m/>
    <m/>
    <m/>
    <m/>
    <m/>
    <m/>
    <m/>
    <m/>
    <m/>
    <n v="8"/>
    <m/>
    <m/>
    <m/>
    <x v="10"/>
  </r>
  <r>
    <s v="P0048"/>
    <n v="58"/>
    <s v="Female"/>
    <s v="Cardiac"/>
    <s v="Neurology"/>
    <s v="Dr. Arun"/>
    <d v="2025-03-20T00:00:00"/>
    <d v="2025-04-06T00:00:00"/>
    <n v="122486"/>
    <s v="None"/>
    <s v="Card"/>
    <x v="2"/>
    <s v="Follow-up"/>
    <n v="2"/>
    <m/>
    <m/>
    <m/>
    <m/>
    <m/>
    <m/>
    <m/>
    <m/>
    <m/>
    <n v="3"/>
    <m/>
    <m/>
    <m/>
    <x v="9"/>
  </r>
  <r>
    <s v="P0049"/>
    <n v="34"/>
    <s v="Female"/>
    <s v="Cardiac"/>
    <s v="Oncology"/>
    <s v="Dr. Arun"/>
    <d v="2025-12-04T00:00:00"/>
    <d v="2025-12-19T00:00:00"/>
    <n v="203443"/>
    <s v="Private"/>
    <s v="Insurance Claim"/>
    <x v="4"/>
    <s v="Follow-up"/>
    <n v="2"/>
    <m/>
    <m/>
    <m/>
    <m/>
    <m/>
    <m/>
    <m/>
    <m/>
    <m/>
    <n v="12"/>
    <m/>
    <m/>
    <m/>
    <x v="2"/>
  </r>
  <r>
    <s v="P0050"/>
    <n v="35"/>
    <s v="Female"/>
    <s v="Infection"/>
    <s v="Cardiology"/>
    <s v="Dr. Arun"/>
    <d v="2025-07-11T00:00:00"/>
    <d v="2025-07-24T00:00:00"/>
    <n v="240777"/>
    <s v="None"/>
    <s v="UPI"/>
    <x v="3"/>
    <s v="Follow-up"/>
    <n v="1"/>
    <m/>
    <m/>
    <m/>
    <m/>
    <m/>
    <m/>
    <m/>
    <m/>
    <m/>
    <n v="7"/>
    <m/>
    <m/>
    <m/>
    <x v="7"/>
  </r>
  <r>
    <s v="P0051"/>
    <n v="21"/>
    <s v="Female"/>
    <s v="Diabetes"/>
    <s v="Cardiology"/>
    <s v="Dr. Meena"/>
    <d v="2025-08-25T00:00:00"/>
    <d v="2025-09-12T00:00:00"/>
    <n v="148832"/>
    <s v="Private"/>
    <s v="Card"/>
    <x v="4"/>
    <s v="Follow-up"/>
    <n v="5"/>
    <m/>
    <m/>
    <m/>
    <m/>
    <m/>
    <m/>
    <m/>
    <m/>
    <m/>
    <n v="8"/>
    <m/>
    <m/>
    <m/>
    <x v="10"/>
  </r>
  <r>
    <s v="P0052"/>
    <n v="51"/>
    <s v="Female"/>
    <s v="Orthopedic"/>
    <s v="Orthopedics"/>
    <s v="Dr. Priya"/>
    <d v="2025-08-19T00:00:00"/>
    <d v="2025-08-21T00:00:00"/>
    <n v="44666"/>
    <s v="Government"/>
    <s v="Cash"/>
    <x v="4"/>
    <s v="Recovered"/>
    <n v="4"/>
    <m/>
    <m/>
    <m/>
    <m/>
    <m/>
    <m/>
    <m/>
    <m/>
    <m/>
    <n v="8"/>
    <m/>
    <m/>
    <m/>
    <x v="10"/>
  </r>
  <r>
    <s v="P0053"/>
    <n v="62"/>
    <s v="Male"/>
    <s v="Respiratory"/>
    <s v="General Medicine"/>
    <s v="Dr. Meena"/>
    <d v="2024-08-22T00:00:00"/>
    <d v="2024-09-03T00:00:00"/>
    <n v="125851"/>
    <s v="None"/>
    <s v="Card"/>
    <x v="2"/>
    <s v="Recovered"/>
    <n v="4"/>
    <m/>
    <m/>
    <m/>
    <m/>
    <m/>
    <m/>
    <m/>
    <m/>
    <m/>
    <n v="8"/>
    <m/>
    <m/>
    <m/>
    <x v="10"/>
  </r>
  <r>
    <s v="P0054"/>
    <n v="84"/>
    <s v="Male"/>
    <s v="Infection"/>
    <s v="Cardiology"/>
    <s v="Dr. Arun"/>
    <d v="2025-07-19T00:00:00"/>
    <d v="2025-08-06T00:00:00"/>
    <n v="94593"/>
    <s v="Government"/>
    <s v="Cash"/>
    <x v="3"/>
    <s v="Follow-up"/>
    <n v="3"/>
    <m/>
    <m/>
    <m/>
    <m/>
    <m/>
    <m/>
    <m/>
    <m/>
    <m/>
    <n v="7"/>
    <m/>
    <m/>
    <m/>
    <x v="7"/>
  </r>
  <r>
    <s v="P0055"/>
    <n v="77"/>
    <s v="Male"/>
    <s v="Infection"/>
    <s v="Oncology"/>
    <s v="Dr. Arun"/>
    <d v="2024-10-27T00:00:00"/>
    <d v="2024-11-03T00:00:00"/>
    <n v="41552"/>
    <s v="None"/>
    <s v="Cash"/>
    <x v="2"/>
    <s v="Recovered"/>
    <n v="3"/>
    <m/>
    <m/>
    <m/>
    <m/>
    <m/>
    <m/>
    <m/>
    <m/>
    <m/>
    <n v="10"/>
    <m/>
    <m/>
    <m/>
    <x v="8"/>
  </r>
  <r>
    <s v="P0056"/>
    <n v="81"/>
    <s v="Male"/>
    <s v="Cancer"/>
    <s v="Pulmonology"/>
    <s v="Dr. Raj"/>
    <d v="2025-05-07T00:00:00"/>
    <d v="2025-05-15T00:00:00"/>
    <n v="227469"/>
    <s v="None"/>
    <s v="Cash"/>
    <x v="4"/>
    <s v="Recovered"/>
    <n v="5"/>
    <m/>
    <m/>
    <m/>
    <m/>
    <m/>
    <m/>
    <m/>
    <m/>
    <m/>
    <n v="5"/>
    <m/>
    <m/>
    <m/>
    <x v="5"/>
  </r>
  <r>
    <s v="P0057"/>
    <n v="73"/>
    <s v="Female"/>
    <s v="Cardiac"/>
    <s v="Cardiology"/>
    <s v="Dr. Meena"/>
    <d v="2024-08-20T00:00:00"/>
    <d v="2024-09-01T00:00:00"/>
    <n v="160404"/>
    <s v="Private"/>
    <s v="UPI"/>
    <x v="2"/>
    <s v="Under Treatment"/>
    <n v="1"/>
    <m/>
    <m/>
    <m/>
    <m/>
    <m/>
    <m/>
    <m/>
    <m/>
    <m/>
    <n v="8"/>
    <m/>
    <m/>
    <m/>
    <x v="10"/>
  </r>
  <r>
    <s v="P0058"/>
    <n v="31"/>
    <s v="Female"/>
    <s v="Diabetes"/>
    <s v="Orthopedics"/>
    <s v="Dr. Arun"/>
    <d v="2025-09-02T00:00:00"/>
    <d v="2025-09-21T00:00:00"/>
    <n v="194509"/>
    <s v="Corporate"/>
    <s v="UPI"/>
    <x v="0"/>
    <s v="Follow-up"/>
    <n v="2"/>
    <m/>
    <m/>
    <m/>
    <m/>
    <m/>
    <m/>
    <m/>
    <m/>
    <m/>
    <n v="9"/>
    <m/>
    <m/>
    <m/>
    <x v="1"/>
  </r>
  <r>
    <s v="P0059"/>
    <n v="39"/>
    <s v="Female"/>
    <s v="Cancer"/>
    <s v="Oncology"/>
    <s v="Dr. Priya"/>
    <d v="2024-09-19T00:00:00"/>
    <d v="2024-09-30T00:00:00"/>
    <n v="22058"/>
    <s v="None"/>
    <s v="Cash"/>
    <x v="1"/>
    <s v="Recovered"/>
    <n v="4"/>
    <m/>
    <m/>
    <m/>
    <m/>
    <m/>
    <m/>
    <m/>
    <m/>
    <m/>
    <n v="9"/>
    <m/>
    <m/>
    <m/>
    <x v="1"/>
  </r>
  <r>
    <s v="P0060"/>
    <n v="73"/>
    <s v="Male"/>
    <s v="Respiratory"/>
    <s v="Orthopedics"/>
    <s v="Dr. Priya"/>
    <d v="2025-05-19T00:00:00"/>
    <d v="2025-06-04T00:00:00"/>
    <n v="20041"/>
    <s v="Private"/>
    <s v="Insurance Claim"/>
    <x v="1"/>
    <s v="Under Treatment"/>
    <n v="1"/>
    <m/>
    <m/>
    <m/>
    <m/>
    <m/>
    <m/>
    <m/>
    <m/>
    <m/>
    <n v="5"/>
    <m/>
    <m/>
    <m/>
    <x v="5"/>
  </r>
  <r>
    <s v="P0061"/>
    <n v="42"/>
    <s v="Female"/>
    <s v="Neurological"/>
    <s v="Neurology"/>
    <s v="Dr. Meena"/>
    <d v="2024-03-21T00:00:00"/>
    <d v="2024-03-22T00:00:00"/>
    <n v="149566"/>
    <s v="None"/>
    <s v="Insurance Claim"/>
    <x v="2"/>
    <s v="Under Treatment"/>
    <n v="1"/>
    <m/>
    <m/>
    <m/>
    <m/>
    <m/>
    <m/>
    <m/>
    <m/>
    <m/>
    <n v="3"/>
    <m/>
    <m/>
    <m/>
    <x v="9"/>
  </r>
  <r>
    <s v="P0062"/>
    <n v="40"/>
    <s v="Male"/>
    <s v="Cancer"/>
    <s v="Pulmonology"/>
    <s v="Dr. Arun"/>
    <d v="2024-11-19T00:00:00"/>
    <d v="2024-11-30T00:00:00"/>
    <n v="53056"/>
    <s v="None"/>
    <s v="UPI"/>
    <x v="1"/>
    <s v="Follow-up"/>
    <n v="2"/>
    <m/>
    <m/>
    <m/>
    <m/>
    <m/>
    <m/>
    <m/>
    <m/>
    <m/>
    <n v="11"/>
    <m/>
    <m/>
    <m/>
    <x v="6"/>
  </r>
  <r>
    <s v="P0063"/>
    <n v="30"/>
    <s v="Female"/>
    <s v="Diabetes"/>
    <s v="Cardiology"/>
    <s v="Dr. Arun"/>
    <d v="2025-05-14T00:00:00"/>
    <d v="2025-05-22T00:00:00"/>
    <n v="23298"/>
    <s v="Government"/>
    <s v="Cash"/>
    <x v="4"/>
    <s v="Under Treatment"/>
    <n v="3"/>
    <m/>
    <m/>
    <m/>
    <m/>
    <m/>
    <m/>
    <m/>
    <m/>
    <m/>
    <n v="5"/>
    <m/>
    <m/>
    <m/>
    <x v="5"/>
  </r>
  <r>
    <s v="P0064"/>
    <n v="83"/>
    <s v="Female"/>
    <s v="Cancer"/>
    <s v="Oncology"/>
    <s v="Dr. Priya"/>
    <d v="2024-05-19T00:00:00"/>
    <d v="2024-05-25T00:00:00"/>
    <n v="47630"/>
    <s v="Government"/>
    <s v="Card"/>
    <x v="4"/>
    <s v="Recovered"/>
    <n v="1"/>
    <m/>
    <m/>
    <m/>
    <m/>
    <m/>
    <m/>
    <m/>
    <m/>
    <m/>
    <n v="5"/>
    <m/>
    <m/>
    <m/>
    <x v="5"/>
  </r>
  <r>
    <s v="P0065"/>
    <n v="53"/>
    <s v="Male"/>
    <s v="Orthopedic"/>
    <s v="Oncology"/>
    <s v="Dr. Arun"/>
    <d v="2024-01-07T00:00:00"/>
    <d v="2024-01-13T00:00:00"/>
    <n v="156724"/>
    <s v="None"/>
    <s v="UPI"/>
    <x v="1"/>
    <s v="Recovered"/>
    <n v="4"/>
    <m/>
    <m/>
    <m/>
    <m/>
    <m/>
    <m/>
    <m/>
    <m/>
    <m/>
    <n v="1"/>
    <m/>
    <m/>
    <m/>
    <x v="4"/>
  </r>
  <r>
    <s v="P0066"/>
    <n v="85"/>
    <s v="Male"/>
    <s v="Infection"/>
    <s v="Neurology"/>
    <s v="Dr. Arun"/>
    <d v="2024-12-28T00:00:00"/>
    <d v="2025-01-07T00:00:00"/>
    <n v="215091"/>
    <s v="Private"/>
    <s v="Cash"/>
    <x v="4"/>
    <s v="Under Treatment"/>
    <n v="4"/>
    <m/>
    <m/>
    <m/>
    <m/>
    <m/>
    <m/>
    <m/>
    <m/>
    <m/>
    <n v="12"/>
    <m/>
    <m/>
    <m/>
    <x v="2"/>
  </r>
  <r>
    <s v="P0067"/>
    <n v="22"/>
    <s v="Male"/>
    <s v="Neurological"/>
    <s v="Pulmonology"/>
    <s v="Dr. Arun"/>
    <d v="2024-10-31T00:00:00"/>
    <d v="2024-11-19T00:00:00"/>
    <n v="142659"/>
    <s v="Corporate"/>
    <s v="Cash"/>
    <x v="0"/>
    <s v="Follow-up"/>
    <n v="1"/>
    <m/>
    <m/>
    <m/>
    <m/>
    <m/>
    <m/>
    <m/>
    <m/>
    <m/>
    <n v="10"/>
    <m/>
    <m/>
    <m/>
    <x v="8"/>
  </r>
  <r>
    <s v="P0068"/>
    <n v="54"/>
    <s v="Female"/>
    <s v="Respiratory"/>
    <s v="Oncology"/>
    <s v="Dr. Raj"/>
    <d v="2025-11-23T00:00:00"/>
    <d v="2025-12-04T00:00:00"/>
    <n v="142295"/>
    <s v="Government"/>
    <s v="UPI"/>
    <x v="3"/>
    <s v="Recovered"/>
    <n v="4"/>
    <m/>
    <m/>
    <m/>
    <m/>
    <m/>
    <m/>
    <m/>
    <m/>
    <m/>
    <n v="11"/>
    <m/>
    <m/>
    <m/>
    <x v="6"/>
  </r>
  <r>
    <s v="P0069"/>
    <n v="70"/>
    <s v="Female"/>
    <s v="Orthopedic"/>
    <s v="Pulmonology"/>
    <s v="Dr. Meena"/>
    <d v="2024-05-06T00:00:00"/>
    <d v="2024-05-07T00:00:00"/>
    <n v="64085"/>
    <s v="None"/>
    <s v="Cash"/>
    <x v="0"/>
    <s v="Follow-up"/>
    <n v="5"/>
    <m/>
    <m/>
    <m/>
    <m/>
    <m/>
    <m/>
    <m/>
    <m/>
    <m/>
    <n v="5"/>
    <m/>
    <m/>
    <m/>
    <x v="5"/>
  </r>
  <r>
    <s v="P0070"/>
    <n v="56"/>
    <s v="Male"/>
    <s v="Respiratory"/>
    <s v="Cardiology"/>
    <s v="Dr. Priya"/>
    <d v="2024-04-25T00:00:00"/>
    <d v="2024-05-01T00:00:00"/>
    <n v="212927"/>
    <s v="Government"/>
    <s v="UPI"/>
    <x v="1"/>
    <s v="Recovered"/>
    <n v="2"/>
    <m/>
    <m/>
    <m/>
    <m/>
    <m/>
    <m/>
    <m/>
    <m/>
    <m/>
    <n v="4"/>
    <m/>
    <m/>
    <m/>
    <x v="0"/>
  </r>
  <r>
    <s v="P0071"/>
    <n v="28"/>
    <s v="Male"/>
    <s v="Cancer"/>
    <s v="General Medicine"/>
    <s v="Dr. Meena"/>
    <d v="2024-03-21T00:00:00"/>
    <d v="2024-03-30T00:00:00"/>
    <n v="119271"/>
    <s v="Corporate"/>
    <s v="Insurance Claim"/>
    <x v="0"/>
    <s v="Follow-up"/>
    <n v="4"/>
    <m/>
    <m/>
    <m/>
    <m/>
    <m/>
    <m/>
    <m/>
    <m/>
    <m/>
    <n v="3"/>
    <m/>
    <m/>
    <m/>
    <x v="9"/>
  </r>
  <r>
    <s v="P0072"/>
    <n v="29"/>
    <s v="Male"/>
    <s v="Cancer"/>
    <s v="Orthopedics"/>
    <s v="Dr. Priya"/>
    <d v="2025-05-18T00:00:00"/>
    <d v="2025-05-31T00:00:00"/>
    <n v="71195"/>
    <s v="Private"/>
    <s v="Card"/>
    <x v="2"/>
    <s v="Follow-up"/>
    <n v="3"/>
    <m/>
    <m/>
    <m/>
    <m/>
    <m/>
    <m/>
    <m/>
    <m/>
    <m/>
    <n v="5"/>
    <m/>
    <m/>
    <m/>
    <x v="5"/>
  </r>
  <r>
    <s v="P0073"/>
    <n v="31"/>
    <s v="Female"/>
    <s v="Cancer"/>
    <s v="Oncology"/>
    <s v="Dr. Meena"/>
    <d v="2024-08-01T00:00:00"/>
    <d v="2024-08-21T00:00:00"/>
    <n v="101072"/>
    <s v="Private"/>
    <s v="Insurance Claim"/>
    <x v="4"/>
    <s v="Recovered"/>
    <n v="4"/>
    <m/>
    <m/>
    <m/>
    <m/>
    <m/>
    <m/>
    <m/>
    <m/>
    <m/>
    <n v="8"/>
    <m/>
    <m/>
    <m/>
    <x v="10"/>
  </r>
  <r>
    <s v="P0074"/>
    <n v="62"/>
    <s v="Male"/>
    <s v="Respiratory"/>
    <s v="Pulmonology"/>
    <s v="Dr. Kumar"/>
    <d v="2024-03-03T00:00:00"/>
    <d v="2024-03-16T00:00:00"/>
    <n v="95513"/>
    <s v="Government"/>
    <s v="Card"/>
    <x v="3"/>
    <s v="Under Treatment"/>
    <n v="1"/>
    <m/>
    <m/>
    <m/>
    <m/>
    <m/>
    <m/>
    <m/>
    <m/>
    <m/>
    <n v="3"/>
    <m/>
    <m/>
    <m/>
    <x v="9"/>
  </r>
  <r>
    <s v="P0075"/>
    <n v="84"/>
    <s v="Female"/>
    <s v="Infection"/>
    <s v="Cardiology"/>
    <s v="Dr. Raj"/>
    <d v="2025-06-20T00:00:00"/>
    <d v="2025-07-01T00:00:00"/>
    <n v="38235"/>
    <s v="Private"/>
    <s v="Card"/>
    <x v="2"/>
    <s v="Under Treatment"/>
    <n v="4"/>
    <m/>
    <m/>
    <m/>
    <m/>
    <m/>
    <m/>
    <m/>
    <m/>
    <m/>
    <n v="6"/>
    <m/>
    <m/>
    <m/>
    <x v="11"/>
  </r>
  <r>
    <s v="P0076"/>
    <n v="75"/>
    <s v="Female"/>
    <s v="Neurological"/>
    <s v="Neurology"/>
    <s v="Dr. Meena"/>
    <d v="2025-12-07T00:00:00"/>
    <d v="2025-12-10T00:00:00"/>
    <n v="220805"/>
    <s v="Corporate"/>
    <s v="Cash"/>
    <x v="4"/>
    <s v="Recovered"/>
    <n v="2"/>
    <m/>
    <m/>
    <m/>
    <m/>
    <m/>
    <m/>
    <m/>
    <m/>
    <m/>
    <n v="12"/>
    <m/>
    <m/>
    <m/>
    <x v="2"/>
  </r>
  <r>
    <s v="P0077"/>
    <n v="53"/>
    <s v="Female"/>
    <s v="Orthopedic"/>
    <s v="Oncology"/>
    <s v="Dr. Arun"/>
    <d v="2024-12-30T00:00:00"/>
    <d v="2025-01-18T00:00:00"/>
    <n v="196683"/>
    <s v="Corporate"/>
    <s v="Insurance Claim"/>
    <x v="1"/>
    <s v="Recovered"/>
    <n v="5"/>
    <m/>
    <m/>
    <m/>
    <m/>
    <m/>
    <m/>
    <m/>
    <m/>
    <m/>
    <n v="12"/>
    <m/>
    <m/>
    <m/>
    <x v="2"/>
  </r>
  <r>
    <s v="P0078"/>
    <n v="52"/>
    <s v="Male"/>
    <s v="Cancer"/>
    <s v="Oncology"/>
    <s v="Dr. Arun"/>
    <d v="2024-07-15T00:00:00"/>
    <d v="2024-07-31T00:00:00"/>
    <n v="189270"/>
    <s v="None"/>
    <s v="UPI"/>
    <x v="1"/>
    <s v="Follow-up"/>
    <n v="2"/>
    <m/>
    <m/>
    <m/>
    <m/>
    <m/>
    <m/>
    <m/>
    <m/>
    <m/>
    <n v="7"/>
    <m/>
    <m/>
    <m/>
    <x v="7"/>
  </r>
  <r>
    <s v="P0079"/>
    <n v="68"/>
    <s v="Male"/>
    <s v="Respiratory"/>
    <s v="Pulmonology"/>
    <s v="Dr. Meena"/>
    <d v="2024-08-16T00:00:00"/>
    <d v="2024-09-05T00:00:00"/>
    <n v="19679"/>
    <s v="Corporate"/>
    <s v="UPI"/>
    <x v="2"/>
    <s v="Recovered"/>
    <n v="3"/>
    <m/>
    <m/>
    <m/>
    <m/>
    <m/>
    <m/>
    <m/>
    <m/>
    <m/>
    <n v="8"/>
    <m/>
    <m/>
    <m/>
    <x v="10"/>
  </r>
  <r>
    <s v="P0080"/>
    <n v="29"/>
    <s v="Male"/>
    <s v="Diabetes"/>
    <s v="Oncology"/>
    <s v="Dr. Raj"/>
    <d v="2025-03-18T00:00:00"/>
    <d v="2025-03-31T00:00:00"/>
    <n v="211891"/>
    <s v="Government"/>
    <s v="UPI"/>
    <x v="0"/>
    <s v="Under Treatment"/>
    <n v="5"/>
    <m/>
    <m/>
    <m/>
    <m/>
    <m/>
    <m/>
    <m/>
    <m/>
    <m/>
    <n v="3"/>
    <m/>
    <m/>
    <m/>
    <x v="9"/>
  </r>
  <r>
    <s v="P0081"/>
    <n v="46"/>
    <s v="Male"/>
    <s v="Respiratory"/>
    <s v="Pulmonology"/>
    <s v="Dr. Priya"/>
    <d v="2024-09-09T00:00:00"/>
    <d v="2024-09-29T00:00:00"/>
    <n v="240537"/>
    <s v="Private"/>
    <s v="Card"/>
    <x v="0"/>
    <s v="Recovered"/>
    <n v="2"/>
    <m/>
    <m/>
    <m/>
    <m/>
    <m/>
    <m/>
    <m/>
    <m/>
    <m/>
    <n v="9"/>
    <m/>
    <m/>
    <m/>
    <x v="1"/>
  </r>
  <r>
    <s v="P0082"/>
    <n v="32"/>
    <s v="Female"/>
    <s v="Cardiac"/>
    <s v="Cardiology"/>
    <s v="Dr. Priya"/>
    <d v="2024-10-10T00:00:00"/>
    <d v="2024-10-21T00:00:00"/>
    <n v="78153"/>
    <s v="Private"/>
    <s v="Card"/>
    <x v="3"/>
    <s v="Follow-up"/>
    <n v="5"/>
    <m/>
    <m/>
    <m/>
    <m/>
    <m/>
    <m/>
    <m/>
    <m/>
    <m/>
    <n v="10"/>
    <m/>
    <m/>
    <m/>
    <x v="8"/>
  </r>
  <r>
    <s v="P0083"/>
    <n v="47"/>
    <s v="Male"/>
    <s v="Infection"/>
    <s v="Pulmonology"/>
    <s v="Dr. Meena"/>
    <d v="2025-07-22T00:00:00"/>
    <d v="2025-07-28T00:00:00"/>
    <n v="28603"/>
    <s v="Government"/>
    <s v="Cash"/>
    <x v="2"/>
    <s v="Follow-up"/>
    <n v="3"/>
    <m/>
    <m/>
    <m/>
    <m/>
    <m/>
    <m/>
    <m/>
    <m/>
    <m/>
    <n v="7"/>
    <m/>
    <m/>
    <m/>
    <x v="7"/>
  </r>
  <r>
    <s v="P0084"/>
    <n v="50"/>
    <s v="Male"/>
    <s v="Orthopedic"/>
    <s v="Pulmonology"/>
    <s v="Dr. Arun"/>
    <d v="2024-07-06T00:00:00"/>
    <d v="2024-07-25T00:00:00"/>
    <n v="67026"/>
    <s v="Corporate"/>
    <s v="Cash"/>
    <x v="4"/>
    <s v="Recovered"/>
    <n v="5"/>
    <m/>
    <m/>
    <m/>
    <m/>
    <m/>
    <m/>
    <m/>
    <m/>
    <m/>
    <n v="7"/>
    <m/>
    <m/>
    <m/>
    <x v="7"/>
  </r>
  <r>
    <s v="P0085"/>
    <n v="61"/>
    <s v="Female"/>
    <s v="Infection"/>
    <s v="Oncology"/>
    <s v="Dr. Priya"/>
    <d v="2025-12-31T00:00:00"/>
    <d v="2026-01-20T00:00:00"/>
    <n v="119335"/>
    <s v="Private"/>
    <s v="Card"/>
    <x v="0"/>
    <s v="Under Treatment"/>
    <n v="3"/>
    <m/>
    <m/>
    <m/>
    <m/>
    <m/>
    <m/>
    <m/>
    <m/>
    <m/>
    <n v="12"/>
    <m/>
    <m/>
    <m/>
    <x v="2"/>
  </r>
  <r>
    <s v="P0086"/>
    <n v="41"/>
    <s v="Male"/>
    <s v="Respiratory"/>
    <s v="General Medicine"/>
    <s v="Dr. Kumar"/>
    <d v="2024-02-09T00:00:00"/>
    <d v="2024-02-29T00:00:00"/>
    <n v="93312"/>
    <s v="Government"/>
    <s v="UPI"/>
    <x v="1"/>
    <s v="Follow-up"/>
    <n v="5"/>
    <m/>
    <m/>
    <m/>
    <m/>
    <m/>
    <m/>
    <m/>
    <m/>
    <m/>
    <n v="2"/>
    <m/>
    <m/>
    <m/>
    <x v="3"/>
  </r>
  <r>
    <s v="P0087"/>
    <n v="49"/>
    <s v="Female"/>
    <s v="Neurological"/>
    <s v="Pulmonology"/>
    <s v="Dr. Meena"/>
    <d v="2025-01-14T00:00:00"/>
    <d v="2025-01-21T00:00:00"/>
    <n v="155035"/>
    <s v="None"/>
    <s v="Card"/>
    <x v="4"/>
    <s v="Under Treatment"/>
    <n v="4"/>
    <m/>
    <m/>
    <m/>
    <m/>
    <m/>
    <m/>
    <m/>
    <m/>
    <m/>
    <n v="1"/>
    <m/>
    <m/>
    <m/>
    <x v="4"/>
  </r>
  <r>
    <s v="P0088"/>
    <n v="71"/>
    <s v="Female"/>
    <s v="Neurological"/>
    <s v="Neurology"/>
    <s v="Dr. Kumar"/>
    <d v="2024-09-10T00:00:00"/>
    <d v="2024-09-25T00:00:00"/>
    <n v="221059"/>
    <s v="Government"/>
    <s v="Cash"/>
    <x v="1"/>
    <s v="Recovered"/>
    <n v="1"/>
    <m/>
    <m/>
    <m/>
    <m/>
    <m/>
    <m/>
    <m/>
    <m/>
    <m/>
    <n v="9"/>
    <m/>
    <m/>
    <m/>
    <x v="1"/>
  </r>
  <r>
    <s v="P0089"/>
    <n v="34"/>
    <s v="Female"/>
    <s v="Neurological"/>
    <s v="Orthopedics"/>
    <s v="Dr. Raj"/>
    <d v="2024-07-08T00:00:00"/>
    <d v="2024-07-13T00:00:00"/>
    <n v="170154"/>
    <s v="Private"/>
    <s v="UPI"/>
    <x v="1"/>
    <s v="Under Treatment"/>
    <n v="3"/>
    <m/>
    <m/>
    <m/>
    <m/>
    <m/>
    <m/>
    <m/>
    <m/>
    <m/>
    <n v="7"/>
    <m/>
    <m/>
    <m/>
    <x v="7"/>
  </r>
  <r>
    <s v="P0090"/>
    <n v="39"/>
    <s v="Male"/>
    <s v="Diabetes"/>
    <s v="Orthopedics"/>
    <s v="Dr. Priya"/>
    <d v="2024-05-13T00:00:00"/>
    <d v="2024-05-23T00:00:00"/>
    <n v="121329"/>
    <s v="Private"/>
    <s v="Insurance Claim"/>
    <x v="1"/>
    <s v="Follow-up"/>
    <n v="2"/>
    <m/>
    <m/>
    <m/>
    <m/>
    <m/>
    <m/>
    <m/>
    <m/>
    <m/>
    <n v="5"/>
    <m/>
    <m/>
    <m/>
    <x v="5"/>
  </r>
  <r>
    <s v="P0091"/>
    <n v="76"/>
    <s v="Female"/>
    <s v="Cancer"/>
    <s v="Pulmonology"/>
    <s v="Dr. Arun"/>
    <d v="2025-11-16T00:00:00"/>
    <d v="2025-11-22T00:00:00"/>
    <n v="50938"/>
    <s v="None"/>
    <s v="Insurance Claim"/>
    <x v="0"/>
    <s v="Under Treatment"/>
    <n v="5"/>
    <m/>
    <m/>
    <m/>
    <m/>
    <m/>
    <m/>
    <m/>
    <m/>
    <m/>
    <n v="11"/>
    <m/>
    <m/>
    <m/>
    <x v="6"/>
  </r>
  <r>
    <s v="P0092"/>
    <n v="80"/>
    <s v="Female"/>
    <s v="Diabetes"/>
    <s v="General Medicine"/>
    <s v="Dr. Kumar"/>
    <d v="2025-10-08T00:00:00"/>
    <d v="2025-10-11T00:00:00"/>
    <n v="111143"/>
    <s v="Corporate"/>
    <s v="Insurance Claim"/>
    <x v="1"/>
    <s v="Follow-up"/>
    <n v="1"/>
    <m/>
    <m/>
    <m/>
    <m/>
    <m/>
    <m/>
    <m/>
    <m/>
    <m/>
    <n v="10"/>
    <m/>
    <m/>
    <m/>
    <x v="8"/>
  </r>
  <r>
    <s v="P0093"/>
    <n v="45"/>
    <s v="Female"/>
    <s v="Diabetes"/>
    <s v="Neurology"/>
    <s v="Dr. Priya"/>
    <d v="2024-10-12T00:00:00"/>
    <d v="2024-10-22T00:00:00"/>
    <n v="152076"/>
    <s v="Corporate"/>
    <s v="Card"/>
    <x v="0"/>
    <s v="Follow-up"/>
    <n v="2"/>
    <m/>
    <m/>
    <m/>
    <m/>
    <m/>
    <m/>
    <m/>
    <m/>
    <m/>
    <n v="10"/>
    <m/>
    <m/>
    <m/>
    <x v="8"/>
  </r>
  <r>
    <s v="P0094"/>
    <n v="36"/>
    <s v="Male"/>
    <s v="Respiratory"/>
    <s v="General Medicine"/>
    <s v="Dr. Meena"/>
    <d v="2024-10-07T00:00:00"/>
    <d v="2024-10-25T00:00:00"/>
    <n v="6486"/>
    <s v="None"/>
    <s v="Insurance Claim"/>
    <x v="3"/>
    <s v="Under Treatment"/>
    <n v="4"/>
    <m/>
    <m/>
    <m/>
    <m/>
    <m/>
    <m/>
    <m/>
    <m/>
    <m/>
    <n v="10"/>
    <m/>
    <m/>
    <m/>
    <x v="8"/>
  </r>
  <r>
    <s v="P0095"/>
    <n v="69"/>
    <s v="Male"/>
    <s v="Orthopedic"/>
    <s v="Neurology"/>
    <s v="Dr. Raj"/>
    <d v="2025-03-15T00:00:00"/>
    <d v="2025-04-04T00:00:00"/>
    <n v="236034"/>
    <s v="None"/>
    <s v="Cash"/>
    <x v="2"/>
    <s v="Follow-up"/>
    <n v="1"/>
    <m/>
    <m/>
    <m/>
    <m/>
    <m/>
    <m/>
    <m/>
    <m/>
    <m/>
    <n v="3"/>
    <m/>
    <m/>
    <m/>
    <x v="9"/>
  </r>
  <r>
    <s v="P0096"/>
    <n v="37"/>
    <s v="Male"/>
    <s v="Orthopedic"/>
    <s v="General Medicine"/>
    <s v="Dr. Arun"/>
    <d v="2024-06-03T00:00:00"/>
    <d v="2024-06-09T00:00:00"/>
    <n v="179738"/>
    <s v="Private"/>
    <s v="Cash"/>
    <x v="4"/>
    <s v="Under Treatment"/>
    <n v="2"/>
    <m/>
    <m/>
    <m/>
    <m/>
    <m/>
    <m/>
    <m/>
    <m/>
    <m/>
    <n v="6"/>
    <m/>
    <m/>
    <m/>
    <x v="11"/>
  </r>
  <r>
    <s v="P0097"/>
    <n v="80"/>
    <s v="Male"/>
    <s v="Neurological"/>
    <s v="Pulmonology"/>
    <s v="Dr. Arun"/>
    <d v="2025-06-06T00:00:00"/>
    <d v="2025-06-21T00:00:00"/>
    <n v="237932"/>
    <s v="None"/>
    <s v="Insurance Claim"/>
    <x v="2"/>
    <s v="Recovered"/>
    <n v="4"/>
    <m/>
    <m/>
    <m/>
    <m/>
    <m/>
    <m/>
    <m/>
    <m/>
    <m/>
    <n v="6"/>
    <m/>
    <m/>
    <m/>
    <x v="11"/>
  </r>
  <r>
    <s v="P0098"/>
    <n v="52"/>
    <s v="Male"/>
    <s v="Infection"/>
    <s v="Oncology"/>
    <s v="Dr. Raj"/>
    <d v="2024-08-12T00:00:00"/>
    <d v="2024-08-17T00:00:00"/>
    <n v="24854"/>
    <s v="Private"/>
    <s v="Card"/>
    <x v="1"/>
    <s v="Recovered"/>
    <n v="1"/>
    <m/>
    <m/>
    <m/>
    <m/>
    <m/>
    <m/>
    <m/>
    <m/>
    <m/>
    <n v="8"/>
    <m/>
    <m/>
    <m/>
    <x v="10"/>
  </r>
  <r>
    <s v="P0099"/>
    <n v="20"/>
    <s v="Female"/>
    <s v="Infection"/>
    <s v="Orthopedics"/>
    <s v="Dr. Priya"/>
    <d v="2024-07-16T00:00:00"/>
    <d v="2024-08-04T00:00:00"/>
    <n v="182490"/>
    <s v="Corporate"/>
    <s v="Card"/>
    <x v="2"/>
    <s v="Recovered"/>
    <n v="1"/>
    <m/>
    <m/>
    <m/>
    <m/>
    <m/>
    <m/>
    <m/>
    <m/>
    <m/>
    <n v="7"/>
    <m/>
    <m/>
    <m/>
    <x v="7"/>
  </r>
  <r>
    <s v="P0100"/>
    <n v="48"/>
    <s v="Female"/>
    <s v="Cancer"/>
    <s v="Orthopedics"/>
    <s v="Dr. Kumar"/>
    <d v="2024-09-28T00:00:00"/>
    <d v="2024-10-01T00:00:00"/>
    <n v="194925"/>
    <s v="Private"/>
    <s v="Cash"/>
    <x v="3"/>
    <s v="Under Treatment"/>
    <n v="5"/>
    <m/>
    <m/>
    <m/>
    <m/>
    <m/>
    <m/>
    <m/>
    <m/>
    <m/>
    <n v="9"/>
    <m/>
    <m/>
    <m/>
    <x v="1"/>
  </r>
  <r>
    <s v="P0101"/>
    <n v="41"/>
    <s v="Female"/>
    <s v="Diabetes"/>
    <s v="Orthopedics"/>
    <s v="Dr. Raj"/>
    <d v="2025-03-13T00:00:00"/>
    <d v="2025-03-19T00:00:00"/>
    <n v="205022"/>
    <s v="Corporate"/>
    <s v="Card"/>
    <x v="1"/>
    <s v="Under Treatment"/>
    <n v="1"/>
    <m/>
    <m/>
    <m/>
    <m/>
    <m/>
    <m/>
    <m/>
    <m/>
    <m/>
    <n v="3"/>
    <m/>
    <m/>
    <m/>
    <x v="9"/>
  </r>
  <r>
    <s v="P0102"/>
    <n v="23"/>
    <s v="Male"/>
    <s v="Respiratory"/>
    <s v="Neurology"/>
    <s v="Dr. Meena"/>
    <d v="2024-05-22T00:00:00"/>
    <d v="2024-06-10T00:00:00"/>
    <n v="219879"/>
    <s v="None"/>
    <s v="Insurance Claim"/>
    <x v="0"/>
    <s v="Recovered"/>
    <n v="5"/>
    <m/>
    <m/>
    <m/>
    <m/>
    <m/>
    <m/>
    <m/>
    <m/>
    <m/>
    <n v="5"/>
    <m/>
    <m/>
    <m/>
    <x v="5"/>
  </r>
  <r>
    <s v="P0103"/>
    <n v="44"/>
    <s v="Male"/>
    <s v="Neurological"/>
    <s v="Cardiology"/>
    <s v="Dr. Arun"/>
    <d v="2025-03-07T00:00:00"/>
    <d v="2025-03-18T00:00:00"/>
    <n v="128350"/>
    <s v="None"/>
    <s v="Card"/>
    <x v="1"/>
    <s v="Under Treatment"/>
    <n v="2"/>
    <m/>
    <m/>
    <m/>
    <m/>
    <m/>
    <m/>
    <m/>
    <m/>
    <m/>
    <n v="3"/>
    <m/>
    <m/>
    <m/>
    <x v="9"/>
  </r>
  <r>
    <s v="P0104"/>
    <n v="68"/>
    <s v="Male"/>
    <s v="Cardiac"/>
    <s v="Pulmonology"/>
    <s v="Dr. Arun"/>
    <d v="2024-02-24T00:00:00"/>
    <d v="2024-03-12T00:00:00"/>
    <n v="128391"/>
    <s v="None"/>
    <s v="Insurance Claim"/>
    <x v="3"/>
    <s v="Under Treatment"/>
    <n v="3"/>
    <m/>
    <m/>
    <m/>
    <m/>
    <m/>
    <m/>
    <m/>
    <m/>
    <m/>
    <n v="2"/>
    <m/>
    <m/>
    <m/>
    <x v="3"/>
  </r>
  <r>
    <s v="P0105"/>
    <n v="36"/>
    <s v="Female"/>
    <s v="Respiratory"/>
    <s v="Pulmonology"/>
    <s v="Dr. Kumar"/>
    <d v="2024-12-26T00:00:00"/>
    <d v="2025-01-13T00:00:00"/>
    <n v="29730"/>
    <s v="Government"/>
    <s v="Cash"/>
    <x v="3"/>
    <s v="Recovered"/>
    <n v="4"/>
    <m/>
    <m/>
    <m/>
    <m/>
    <m/>
    <m/>
    <m/>
    <m/>
    <m/>
    <n v="12"/>
    <m/>
    <m/>
    <m/>
    <x v="2"/>
  </r>
  <r>
    <s v="P0106"/>
    <n v="20"/>
    <s v="Male"/>
    <s v="Orthopedic"/>
    <s v="Pulmonology"/>
    <s v="Dr. Kumar"/>
    <d v="2025-12-04T00:00:00"/>
    <d v="2025-12-22T00:00:00"/>
    <n v="210584"/>
    <s v="Private"/>
    <s v="Card"/>
    <x v="2"/>
    <s v="Under Treatment"/>
    <n v="1"/>
    <m/>
    <m/>
    <m/>
    <m/>
    <m/>
    <m/>
    <m/>
    <m/>
    <m/>
    <n v="12"/>
    <m/>
    <m/>
    <m/>
    <x v="2"/>
  </r>
  <r>
    <s v="P0107"/>
    <n v="40"/>
    <s v="Male"/>
    <s v="Respiratory"/>
    <s v="General Medicine"/>
    <s v="Dr. Priya"/>
    <d v="2024-11-25T00:00:00"/>
    <d v="2024-12-01T00:00:00"/>
    <n v="241059"/>
    <s v="None"/>
    <s v="Card"/>
    <x v="4"/>
    <s v="Recovered"/>
    <n v="4"/>
    <m/>
    <m/>
    <m/>
    <m/>
    <m/>
    <m/>
    <m/>
    <m/>
    <m/>
    <n v="11"/>
    <m/>
    <m/>
    <m/>
    <x v="6"/>
  </r>
  <r>
    <s v="P0108"/>
    <n v="45"/>
    <s v="Male"/>
    <s v="Cancer"/>
    <s v="Oncology"/>
    <s v="Dr. Meena"/>
    <d v="2024-02-14T00:00:00"/>
    <d v="2024-03-04T00:00:00"/>
    <n v="79031"/>
    <s v="Private"/>
    <s v="Cash"/>
    <x v="1"/>
    <s v="Follow-up"/>
    <n v="3"/>
    <m/>
    <m/>
    <m/>
    <m/>
    <m/>
    <m/>
    <m/>
    <m/>
    <m/>
    <n v="2"/>
    <m/>
    <m/>
    <m/>
    <x v="3"/>
  </r>
  <r>
    <s v="P0109"/>
    <n v="19"/>
    <s v="Male"/>
    <s v="Infection"/>
    <s v="Pulmonology"/>
    <s v="Dr. Priya"/>
    <d v="2024-09-12T00:00:00"/>
    <d v="2024-09-30T00:00:00"/>
    <n v="144750"/>
    <s v="Corporate"/>
    <s v="UPI"/>
    <x v="4"/>
    <s v="Follow-up"/>
    <n v="4"/>
    <m/>
    <m/>
    <m/>
    <m/>
    <m/>
    <m/>
    <m/>
    <m/>
    <m/>
    <n v="9"/>
    <m/>
    <m/>
    <m/>
    <x v="1"/>
  </r>
  <r>
    <s v="P0110"/>
    <n v="42"/>
    <s v="Male"/>
    <s v="Diabetes"/>
    <s v="Pulmonology"/>
    <s v="Dr. Kumar"/>
    <d v="2024-05-12T00:00:00"/>
    <d v="2024-05-30T00:00:00"/>
    <n v="114721"/>
    <s v="None"/>
    <s v="Insurance Claim"/>
    <x v="4"/>
    <s v="Follow-up"/>
    <n v="1"/>
    <m/>
    <m/>
    <m/>
    <m/>
    <m/>
    <m/>
    <m/>
    <m/>
    <m/>
    <n v="5"/>
    <m/>
    <m/>
    <m/>
    <x v="5"/>
  </r>
  <r>
    <s v="P0111"/>
    <n v="35"/>
    <s v="Male"/>
    <s v="Orthopedic"/>
    <s v="Cardiology"/>
    <s v="Dr. Arun"/>
    <d v="2024-12-07T00:00:00"/>
    <d v="2024-12-27T00:00:00"/>
    <n v="124328"/>
    <s v="Government"/>
    <s v="Insurance Claim"/>
    <x v="4"/>
    <s v="Follow-up"/>
    <n v="5"/>
    <m/>
    <m/>
    <m/>
    <m/>
    <m/>
    <m/>
    <m/>
    <m/>
    <m/>
    <n v="12"/>
    <m/>
    <m/>
    <m/>
    <x v="2"/>
  </r>
  <r>
    <s v="P0112"/>
    <n v="83"/>
    <s v="Female"/>
    <s v="Respiratory"/>
    <s v="Neurology"/>
    <s v="Dr. Priya"/>
    <d v="2024-04-12T00:00:00"/>
    <d v="2024-04-25T00:00:00"/>
    <n v="68052"/>
    <s v="Government"/>
    <s v="Card"/>
    <x v="0"/>
    <s v="Recovered"/>
    <n v="5"/>
    <m/>
    <m/>
    <m/>
    <m/>
    <m/>
    <m/>
    <m/>
    <m/>
    <m/>
    <n v="4"/>
    <m/>
    <m/>
    <m/>
    <x v="0"/>
  </r>
  <r>
    <s v="P0113"/>
    <n v="35"/>
    <s v="Male"/>
    <s v="Cancer"/>
    <s v="Orthopedics"/>
    <s v="Dr. Priya"/>
    <d v="2024-07-27T00:00:00"/>
    <d v="2024-08-01T00:00:00"/>
    <n v="105788"/>
    <s v="Government"/>
    <s v="Cash"/>
    <x v="0"/>
    <s v="Under Treatment"/>
    <n v="4"/>
    <m/>
    <m/>
    <m/>
    <m/>
    <m/>
    <m/>
    <m/>
    <m/>
    <m/>
    <n v="7"/>
    <m/>
    <m/>
    <m/>
    <x v="7"/>
  </r>
  <r>
    <s v="P0114"/>
    <n v="83"/>
    <s v="Female"/>
    <s v="Respiratory"/>
    <s v="Cardiology"/>
    <s v="Dr. Priya"/>
    <d v="2024-01-07T00:00:00"/>
    <d v="2024-01-24T00:00:00"/>
    <n v="118538"/>
    <s v="Government"/>
    <s v="Insurance Claim"/>
    <x v="4"/>
    <s v="Follow-up"/>
    <n v="2"/>
    <m/>
    <m/>
    <m/>
    <m/>
    <m/>
    <m/>
    <m/>
    <m/>
    <m/>
    <n v="1"/>
    <m/>
    <m/>
    <m/>
    <x v="4"/>
  </r>
  <r>
    <s v="P0115"/>
    <n v="64"/>
    <s v="Male"/>
    <s v="Diabetes"/>
    <s v="Oncology"/>
    <s v="Dr. Kumar"/>
    <d v="2025-12-23T00:00:00"/>
    <d v="2026-01-07T00:00:00"/>
    <n v="225888"/>
    <s v="Private"/>
    <s v="Card"/>
    <x v="0"/>
    <s v="Follow-up"/>
    <n v="4"/>
    <m/>
    <m/>
    <m/>
    <m/>
    <m/>
    <m/>
    <m/>
    <m/>
    <m/>
    <n v="12"/>
    <m/>
    <m/>
    <m/>
    <x v="2"/>
  </r>
  <r>
    <s v="P0116"/>
    <n v="57"/>
    <s v="Male"/>
    <s v="Infection"/>
    <s v="Pulmonology"/>
    <s v="Dr. Priya"/>
    <d v="2025-01-04T00:00:00"/>
    <d v="2025-01-23T00:00:00"/>
    <n v="167623"/>
    <s v="None"/>
    <s v="Cash"/>
    <x v="4"/>
    <s v="Recovered"/>
    <n v="5"/>
    <m/>
    <m/>
    <m/>
    <m/>
    <m/>
    <m/>
    <m/>
    <m/>
    <m/>
    <n v="1"/>
    <m/>
    <m/>
    <m/>
    <x v="4"/>
  </r>
  <r>
    <s v="P0117"/>
    <n v="37"/>
    <s v="Male"/>
    <s v="Infection"/>
    <s v="Orthopedics"/>
    <s v="Dr. Raj"/>
    <d v="2024-05-06T00:00:00"/>
    <d v="2024-05-22T00:00:00"/>
    <n v="178305"/>
    <s v="None"/>
    <s v="Insurance Claim"/>
    <x v="0"/>
    <s v="Follow-up"/>
    <n v="5"/>
    <m/>
    <m/>
    <m/>
    <m/>
    <m/>
    <m/>
    <m/>
    <m/>
    <m/>
    <n v="5"/>
    <m/>
    <m/>
    <m/>
    <x v="5"/>
  </r>
  <r>
    <s v="P0118"/>
    <n v="26"/>
    <s v="Female"/>
    <s v="Diabetes"/>
    <s v="General Medicine"/>
    <s v="Dr. Priya"/>
    <d v="2025-05-06T00:00:00"/>
    <d v="2025-05-18T00:00:00"/>
    <n v="20173"/>
    <s v="Corporate"/>
    <s v="Cash"/>
    <x v="1"/>
    <s v="Under Treatment"/>
    <n v="1"/>
    <m/>
    <m/>
    <m/>
    <m/>
    <m/>
    <m/>
    <m/>
    <m/>
    <m/>
    <n v="5"/>
    <m/>
    <m/>
    <m/>
    <x v="5"/>
  </r>
  <r>
    <s v="P0119"/>
    <n v="51"/>
    <s v="Female"/>
    <s v="Orthopedic"/>
    <s v="Orthopedics"/>
    <s v="Dr. Raj"/>
    <d v="2025-09-01T00:00:00"/>
    <d v="2025-09-21T00:00:00"/>
    <n v="226462"/>
    <s v="Private"/>
    <s v="UPI"/>
    <x v="3"/>
    <s v="Follow-up"/>
    <n v="2"/>
    <m/>
    <m/>
    <m/>
    <m/>
    <m/>
    <m/>
    <m/>
    <m/>
    <m/>
    <n v="9"/>
    <m/>
    <m/>
    <m/>
    <x v="1"/>
  </r>
  <r>
    <s v="P0120"/>
    <n v="26"/>
    <s v="Male"/>
    <s v="Cancer"/>
    <s v="Pulmonology"/>
    <s v="Dr. Arun"/>
    <d v="2025-02-20T00:00:00"/>
    <d v="2025-02-21T00:00:00"/>
    <n v="234747"/>
    <s v="Government"/>
    <s v="Card"/>
    <x v="4"/>
    <s v="Follow-up"/>
    <n v="2"/>
    <m/>
    <m/>
    <m/>
    <m/>
    <m/>
    <m/>
    <m/>
    <m/>
    <m/>
    <n v="2"/>
    <m/>
    <m/>
    <m/>
    <x v="3"/>
  </r>
  <r>
    <s v="P0121"/>
    <n v="34"/>
    <s v="Female"/>
    <s v="Cardiac"/>
    <s v="Orthopedics"/>
    <s v="Dr. Priya"/>
    <d v="2025-05-27T00:00:00"/>
    <d v="2025-06-04T00:00:00"/>
    <n v="146520"/>
    <s v="Government"/>
    <s v="UPI"/>
    <x v="2"/>
    <s v="Under Treatment"/>
    <n v="2"/>
    <m/>
    <m/>
    <m/>
    <m/>
    <m/>
    <m/>
    <m/>
    <m/>
    <m/>
    <n v="5"/>
    <m/>
    <m/>
    <m/>
    <x v="5"/>
  </r>
  <r>
    <s v="P0122"/>
    <n v="49"/>
    <s v="Female"/>
    <s v="Respiratory"/>
    <s v="General Medicine"/>
    <s v="Dr. Priya"/>
    <d v="2024-07-24T00:00:00"/>
    <d v="2024-07-28T00:00:00"/>
    <n v="70059"/>
    <s v="Corporate"/>
    <s v="Cash"/>
    <x v="3"/>
    <s v="Under Treatment"/>
    <n v="3"/>
    <m/>
    <m/>
    <m/>
    <m/>
    <m/>
    <m/>
    <m/>
    <m/>
    <m/>
    <n v="7"/>
    <m/>
    <m/>
    <m/>
    <x v="7"/>
  </r>
  <r>
    <s v="P0123"/>
    <n v="38"/>
    <s v="Female"/>
    <s v="Orthopedic"/>
    <s v="Orthopedics"/>
    <s v="Dr. Priya"/>
    <d v="2024-10-30T00:00:00"/>
    <d v="2024-11-16T00:00:00"/>
    <n v="220726"/>
    <s v="Private"/>
    <s v="UPI"/>
    <x v="0"/>
    <s v="Under Treatment"/>
    <n v="1"/>
    <m/>
    <m/>
    <m/>
    <m/>
    <m/>
    <m/>
    <m/>
    <m/>
    <m/>
    <n v="10"/>
    <m/>
    <m/>
    <m/>
    <x v="8"/>
  </r>
  <r>
    <s v="P0124"/>
    <n v="26"/>
    <s v="Female"/>
    <s v="Diabetes"/>
    <s v="Neurology"/>
    <s v="Dr. Kumar"/>
    <d v="2024-09-23T00:00:00"/>
    <d v="2024-10-01T00:00:00"/>
    <n v="144314"/>
    <s v="None"/>
    <s v="Cash"/>
    <x v="3"/>
    <s v="Recovered"/>
    <n v="1"/>
    <m/>
    <m/>
    <m/>
    <m/>
    <m/>
    <m/>
    <m/>
    <m/>
    <m/>
    <n v="9"/>
    <m/>
    <m/>
    <m/>
    <x v="1"/>
  </r>
  <r>
    <s v="P0125"/>
    <n v="37"/>
    <s v="Male"/>
    <s v="Cancer"/>
    <s v="General Medicine"/>
    <s v="Dr. Meena"/>
    <d v="2025-03-30T00:00:00"/>
    <d v="2025-04-14T00:00:00"/>
    <n v="10823"/>
    <s v="Private"/>
    <s v="Card"/>
    <x v="2"/>
    <s v="Under Treatment"/>
    <n v="1"/>
    <m/>
    <m/>
    <m/>
    <m/>
    <m/>
    <m/>
    <m/>
    <m/>
    <m/>
    <n v="3"/>
    <m/>
    <m/>
    <m/>
    <x v="9"/>
  </r>
  <r>
    <s v="P0126"/>
    <n v="74"/>
    <s v="Male"/>
    <s v="Neurological"/>
    <s v="Orthopedics"/>
    <s v="Dr. Kumar"/>
    <d v="2025-08-09T00:00:00"/>
    <d v="2025-08-22T00:00:00"/>
    <n v="62581"/>
    <s v="Private"/>
    <s v="Card"/>
    <x v="1"/>
    <s v="Under Treatment"/>
    <n v="1"/>
    <m/>
    <m/>
    <m/>
    <m/>
    <m/>
    <m/>
    <m/>
    <m/>
    <m/>
    <n v="8"/>
    <m/>
    <m/>
    <m/>
    <x v="10"/>
  </r>
  <r>
    <s v="P0127"/>
    <n v="85"/>
    <s v="Female"/>
    <s v="Diabetes"/>
    <s v="Orthopedics"/>
    <s v="Dr. Raj"/>
    <d v="2025-09-02T00:00:00"/>
    <d v="2025-09-09T00:00:00"/>
    <n v="92883"/>
    <s v="Government"/>
    <s v="Insurance Claim"/>
    <x v="0"/>
    <s v="Follow-up"/>
    <n v="5"/>
    <m/>
    <m/>
    <m/>
    <m/>
    <m/>
    <m/>
    <m/>
    <m/>
    <m/>
    <n v="9"/>
    <m/>
    <m/>
    <m/>
    <x v="1"/>
  </r>
  <r>
    <s v="P0128"/>
    <n v="54"/>
    <s v="Male"/>
    <s v="Respiratory"/>
    <s v="Orthopedics"/>
    <s v="Dr. Kumar"/>
    <d v="2024-07-26T00:00:00"/>
    <d v="2024-08-13T00:00:00"/>
    <n v="213323"/>
    <s v="Government"/>
    <s v="UPI"/>
    <x v="1"/>
    <s v="Under Treatment"/>
    <n v="3"/>
    <m/>
    <m/>
    <m/>
    <m/>
    <m/>
    <m/>
    <m/>
    <m/>
    <m/>
    <n v="7"/>
    <m/>
    <m/>
    <m/>
    <x v="7"/>
  </r>
  <r>
    <s v="P0129"/>
    <n v="57"/>
    <s v="Male"/>
    <s v="Cancer"/>
    <s v="Cardiology"/>
    <s v="Dr. Priya"/>
    <d v="2025-03-01T00:00:00"/>
    <d v="2025-03-08T00:00:00"/>
    <n v="240384"/>
    <s v="Corporate"/>
    <s v="Cash"/>
    <x v="1"/>
    <s v="Recovered"/>
    <n v="4"/>
    <m/>
    <m/>
    <m/>
    <m/>
    <m/>
    <m/>
    <m/>
    <m/>
    <m/>
    <n v="3"/>
    <m/>
    <m/>
    <m/>
    <x v="9"/>
  </r>
  <r>
    <s v="P0130"/>
    <n v="29"/>
    <s v="Female"/>
    <s v="Infection"/>
    <s v="Orthopedics"/>
    <s v="Dr. Priya"/>
    <d v="2025-05-27T00:00:00"/>
    <d v="2025-06-16T00:00:00"/>
    <n v="112357"/>
    <s v="None"/>
    <s v="Cash"/>
    <x v="2"/>
    <s v="Recovered"/>
    <n v="2"/>
    <m/>
    <m/>
    <m/>
    <m/>
    <m/>
    <m/>
    <m/>
    <m/>
    <m/>
    <n v="5"/>
    <m/>
    <m/>
    <m/>
    <x v="5"/>
  </r>
  <r>
    <s v="P0131"/>
    <n v="40"/>
    <s v="Male"/>
    <s v="Neurological"/>
    <s v="General Medicine"/>
    <s v="Dr. Raj"/>
    <d v="2025-03-11T00:00:00"/>
    <d v="2025-03-22T00:00:00"/>
    <n v="163416"/>
    <s v="Government"/>
    <s v="Cash"/>
    <x v="0"/>
    <s v="Follow-up"/>
    <n v="3"/>
    <m/>
    <m/>
    <m/>
    <m/>
    <m/>
    <m/>
    <m/>
    <m/>
    <m/>
    <n v="3"/>
    <m/>
    <m/>
    <m/>
    <x v="9"/>
  </r>
  <r>
    <s v="P0132"/>
    <n v="25"/>
    <s v="Female"/>
    <s v="Infection"/>
    <s v="Pulmonology"/>
    <s v="Dr. Kumar"/>
    <d v="2024-10-01T00:00:00"/>
    <d v="2024-10-17T00:00:00"/>
    <n v="30976"/>
    <s v="Corporate"/>
    <s v="Cash"/>
    <x v="1"/>
    <s v="Under Treatment"/>
    <n v="5"/>
    <m/>
    <m/>
    <m/>
    <m/>
    <m/>
    <m/>
    <m/>
    <m/>
    <m/>
    <n v="10"/>
    <m/>
    <m/>
    <m/>
    <x v="8"/>
  </r>
  <r>
    <s v="P0133"/>
    <n v="20"/>
    <s v="Male"/>
    <s v="Cardiac"/>
    <s v="Pulmonology"/>
    <s v="Dr. Kumar"/>
    <d v="2025-02-27T00:00:00"/>
    <d v="2025-03-15T00:00:00"/>
    <n v="129822"/>
    <s v="Private"/>
    <s v="Card"/>
    <x v="4"/>
    <s v="Follow-up"/>
    <n v="3"/>
    <m/>
    <m/>
    <m/>
    <m/>
    <m/>
    <m/>
    <m/>
    <m/>
    <m/>
    <n v="2"/>
    <m/>
    <m/>
    <m/>
    <x v="3"/>
  </r>
  <r>
    <s v="P0134"/>
    <n v="69"/>
    <s v="Male"/>
    <s v="Respiratory"/>
    <s v="Orthopedics"/>
    <s v="Dr. Meena"/>
    <d v="2025-08-14T00:00:00"/>
    <d v="2025-08-22T00:00:00"/>
    <n v="90240"/>
    <s v="Government"/>
    <s v="Card"/>
    <x v="1"/>
    <s v="Follow-up"/>
    <n v="4"/>
    <m/>
    <m/>
    <m/>
    <m/>
    <m/>
    <m/>
    <m/>
    <m/>
    <m/>
    <n v="8"/>
    <m/>
    <m/>
    <m/>
    <x v="10"/>
  </r>
  <r>
    <s v="P0135"/>
    <n v="80"/>
    <s v="Female"/>
    <s v="Cardiac"/>
    <s v="Neurology"/>
    <s v="Dr. Kumar"/>
    <d v="2025-06-11T00:00:00"/>
    <d v="2025-06-24T00:00:00"/>
    <n v="197262"/>
    <s v="Government"/>
    <s v="Card"/>
    <x v="0"/>
    <s v="Follow-up"/>
    <n v="1"/>
    <m/>
    <m/>
    <m/>
    <m/>
    <m/>
    <m/>
    <m/>
    <m/>
    <m/>
    <n v="6"/>
    <m/>
    <m/>
    <m/>
    <x v="11"/>
  </r>
  <r>
    <s v="P0136"/>
    <n v="44"/>
    <s v="Male"/>
    <s v="Diabetes"/>
    <s v="Oncology"/>
    <s v="Dr. Priya"/>
    <d v="2025-10-11T00:00:00"/>
    <d v="2025-10-26T00:00:00"/>
    <n v="172769"/>
    <s v="Corporate"/>
    <s v="UPI"/>
    <x v="1"/>
    <s v="Follow-up"/>
    <n v="5"/>
    <m/>
    <m/>
    <m/>
    <m/>
    <m/>
    <m/>
    <m/>
    <m/>
    <m/>
    <n v="10"/>
    <m/>
    <m/>
    <m/>
    <x v="8"/>
  </r>
  <r>
    <s v="P0137"/>
    <n v="66"/>
    <s v="Male"/>
    <s v="Diabetes"/>
    <s v="Neurology"/>
    <s v="Dr. Priya"/>
    <d v="2025-12-13T00:00:00"/>
    <d v="2025-12-28T00:00:00"/>
    <n v="88470"/>
    <s v="Private"/>
    <s v="Card"/>
    <x v="1"/>
    <s v="Recovered"/>
    <n v="2"/>
    <m/>
    <m/>
    <m/>
    <m/>
    <m/>
    <m/>
    <m/>
    <m/>
    <m/>
    <n v="12"/>
    <m/>
    <m/>
    <m/>
    <x v="2"/>
  </r>
  <r>
    <s v="P0138"/>
    <n v="66"/>
    <s v="Male"/>
    <s v="Respiratory"/>
    <s v="Oncology"/>
    <s v="Dr. Meena"/>
    <d v="2024-12-03T00:00:00"/>
    <d v="2024-12-22T00:00:00"/>
    <n v="19472"/>
    <s v="Private"/>
    <s v="UPI"/>
    <x v="3"/>
    <s v="Follow-up"/>
    <n v="4"/>
    <m/>
    <m/>
    <m/>
    <m/>
    <m/>
    <m/>
    <m/>
    <m/>
    <m/>
    <n v="12"/>
    <m/>
    <m/>
    <m/>
    <x v="2"/>
  </r>
  <r>
    <s v="P0139"/>
    <n v="23"/>
    <s v="Male"/>
    <s v="Neurological"/>
    <s v="Oncology"/>
    <s v="Dr. Raj"/>
    <d v="2025-09-22T00:00:00"/>
    <d v="2025-10-07T00:00:00"/>
    <n v="54045"/>
    <s v="Private"/>
    <s v="Cash"/>
    <x v="0"/>
    <s v="Recovered"/>
    <n v="5"/>
    <m/>
    <m/>
    <m/>
    <m/>
    <m/>
    <m/>
    <m/>
    <m/>
    <m/>
    <n v="9"/>
    <m/>
    <m/>
    <m/>
    <x v="1"/>
  </r>
  <r>
    <s v="P0140"/>
    <n v="85"/>
    <s v="Female"/>
    <s v="Diabetes"/>
    <s v="Pulmonology"/>
    <s v="Dr. Kumar"/>
    <d v="2025-01-24T00:00:00"/>
    <d v="2025-02-02T00:00:00"/>
    <n v="159024"/>
    <s v="None"/>
    <s v="Card"/>
    <x v="2"/>
    <s v="Recovered"/>
    <n v="1"/>
    <m/>
    <m/>
    <m/>
    <m/>
    <m/>
    <m/>
    <m/>
    <m/>
    <m/>
    <n v="1"/>
    <m/>
    <m/>
    <m/>
    <x v="4"/>
  </r>
  <r>
    <s v="P0141"/>
    <n v="78"/>
    <s v="Male"/>
    <s v="Cancer"/>
    <s v="Cardiology"/>
    <s v="Dr. Arun"/>
    <d v="2024-06-22T00:00:00"/>
    <d v="2024-07-09T00:00:00"/>
    <n v="220263"/>
    <s v="Government"/>
    <s v="Insurance Claim"/>
    <x v="1"/>
    <s v="Under Treatment"/>
    <n v="1"/>
    <m/>
    <m/>
    <m/>
    <m/>
    <m/>
    <m/>
    <m/>
    <m/>
    <m/>
    <n v="6"/>
    <m/>
    <m/>
    <m/>
    <x v="11"/>
  </r>
  <r>
    <s v="P0142"/>
    <n v="18"/>
    <s v="Male"/>
    <s v="Infection"/>
    <s v="General Medicine"/>
    <s v="Dr. Kumar"/>
    <d v="2025-09-19T00:00:00"/>
    <d v="2025-09-23T00:00:00"/>
    <n v="83785"/>
    <s v="Private"/>
    <s v="Card"/>
    <x v="4"/>
    <s v="Follow-up"/>
    <n v="4"/>
    <m/>
    <m/>
    <m/>
    <m/>
    <m/>
    <m/>
    <m/>
    <m/>
    <m/>
    <n v="9"/>
    <m/>
    <m/>
    <m/>
    <x v="1"/>
  </r>
  <r>
    <s v="P0143"/>
    <n v="49"/>
    <s v="Male"/>
    <s v="Cardiac"/>
    <s v="Cardiology"/>
    <s v="Dr. Priya"/>
    <d v="2024-06-26T00:00:00"/>
    <d v="2024-06-28T00:00:00"/>
    <n v="236470"/>
    <s v="None"/>
    <s v="Card"/>
    <x v="1"/>
    <s v="Follow-up"/>
    <n v="5"/>
    <m/>
    <m/>
    <m/>
    <m/>
    <m/>
    <m/>
    <m/>
    <m/>
    <m/>
    <n v="6"/>
    <m/>
    <m/>
    <m/>
    <x v="11"/>
  </r>
  <r>
    <s v="P0144"/>
    <n v="26"/>
    <s v="Male"/>
    <s v="Respiratory"/>
    <s v="Pulmonology"/>
    <s v="Dr. Meena"/>
    <d v="2024-08-25T00:00:00"/>
    <d v="2024-08-26T00:00:00"/>
    <n v="63168"/>
    <s v="Government"/>
    <s v="UPI"/>
    <x v="4"/>
    <s v="Recovered"/>
    <n v="1"/>
    <m/>
    <m/>
    <m/>
    <m/>
    <m/>
    <m/>
    <m/>
    <m/>
    <m/>
    <n v="8"/>
    <m/>
    <m/>
    <m/>
    <x v="10"/>
  </r>
  <r>
    <s v="P0145"/>
    <n v="71"/>
    <s v="Female"/>
    <s v="Respiratory"/>
    <s v="Pulmonology"/>
    <s v="Dr. Kumar"/>
    <d v="2024-07-21T00:00:00"/>
    <d v="2024-08-04T00:00:00"/>
    <n v="115186"/>
    <s v="Corporate"/>
    <s v="UPI"/>
    <x v="0"/>
    <s v="Under Treatment"/>
    <n v="1"/>
    <m/>
    <m/>
    <m/>
    <m/>
    <m/>
    <m/>
    <m/>
    <m/>
    <m/>
    <n v="7"/>
    <m/>
    <m/>
    <m/>
    <x v="7"/>
  </r>
  <r>
    <s v="P0146"/>
    <n v="40"/>
    <s v="Female"/>
    <s v="Orthopedic"/>
    <s v="Pulmonology"/>
    <s v="Dr. Arun"/>
    <d v="2024-07-29T00:00:00"/>
    <d v="2024-08-02T00:00:00"/>
    <n v="72085"/>
    <s v="Corporate"/>
    <s v="Insurance Claim"/>
    <x v="1"/>
    <s v="Under Treatment"/>
    <n v="3"/>
    <m/>
    <m/>
    <m/>
    <m/>
    <m/>
    <m/>
    <m/>
    <m/>
    <m/>
    <n v="7"/>
    <m/>
    <m/>
    <m/>
    <x v="7"/>
  </r>
  <r>
    <s v="P0147"/>
    <n v="83"/>
    <s v="Male"/>
    <s v="Cardiac"/>
    <s v="Pulmonology"/>
    <s v="Dr. Kumar"/>
    <d v="2025-12-29T00:00:00"/>
    <d v="2026-01-17T00:00:00"/>
    <n v="56010"/>
    <s v="None"/>
    <s v="Card"/>
    <x v="1"/>
    <s v="Under Treatment"/>
    <n v="2"/>
    <m/>
    <m/>
    <m/>
    <m/>
    <m/>
    <m/>
    <m/>
    <m/>
    <m/>
    <n v="12"/>
    <m/>
    <m/>
    <m/>
    <x v="2"/>
  </r>
  <r>
    <s v="P0148"/>
    <n v="76"/>
    <s v="Female"/>
    <s v="Cancer"/>
    <s v="Orthopedics"/>
    <s v="Dr. Meena"/>
    <d v="2025-04-29T00:00:00"/>
    <d v="2025-05-05T00:00:00"/>
    <n v="118369"/>
    <s v="Government"/>
    <s v="UPI"/>
    <x v="2"/>
    <s v="Follow-up"/>
    <n v="1"/>
    <m/>
    <m/>
    <m/>
    <m/>
    <m/>
    <m/>
    <m/>
    <m/>
    <m/>
    <n v="4"/>
    <m/>
    <m/>
    <m/>
    <x v="0"/>
  </r>
  <r>
    <s v="P0149"/>
    <n v="42"/>
    <s v="Male"/>
    <s v="Infection"/>
    <s v="General Medicine"/>
    <s v="Dr. Priya"/>
    <d v="2024-06-17T00:00:00"/>
    <d v="2024-07-03T00:00:00"/>
    <n v="68757"/>
    <s v="None"/>
    <s v="Card"/>
    <x v="4"/>
    <s v="Under Treatment"/>
    <n v="5"/>
    <m/>
    <m/>
    <m/>
    <m/>
    <m/>
    <m/>
    <m/>
    <m/>
    <m/>
    <n v="6"/>
    <m/>
    <m/>
    <m/>
    <x v="11"/>
  </r>
  <r>
    <s v="P0150"/>
    <n v="50"/>
    <s v="Female"/>
    <s v="Diabetes"/>
    <s v="Pulmonology"/>
    <s v="Dr. Priya"/>
    <d v="2024-09-13T00:00:00"/>
    <d v="2024-09-24T00:00:00"/>
    <n v="46071"/>
    <s v="Government"/>
    <s v="UPI"/>
    <x v="1"/>
    <s v="Recovered"/>
    <n v="3"/>
    <m/>
    <m/>
    <m/>
    <m/>
    <m/>
    <m/>
    <m/>
    <m/>
    <m/>
    <n v="9"/>
    <m/>
    <m/>
    <m/>
    <x v="1"/>
  </r>
  <r>
    <s v="P0151"/>
    <n v="37"/>
    <s v="Female"/>
    <s v="Diabetes"/>
    <s v="Cardiology"/>
    <s v="Dr. Raj"/>
    <d v="2024-08-10T00:00:00"/>
    <d v="2024-08-23T00:00:00"/>
    <n v="209303"/>
    <s v="Private"/>
    <s v="Insurance Claim"/>
    <x v="2"/>
    <s v="Under Treatment"/>
    <n v="4"/>
    <m/>
    <m/>
    <m/>
    <m/>
    <m/>
    <m/>
    <m/>
    <m/>
    <m/>
    <n v="8"/>
    <m/>
    <m/>
    <m/>
    <x v="10"/>
  </r>
  <r>
    <s v="P0152"/>
    <n v="48"/>
    <s v="Female"/>
    <s v="Neurological"/>
    <s v="Neurology"/>
    <s v="Dr. Priya"/>
    <d v="2024-04-12T00:00:00"/>
    <d v="2024-04-18T00:00:00"/>
    <n v="22854"/>
    <s v="Government"/>
    <s v="UPI"/>
    <x v="1"/>
    <s v="Follow-up"/>
    <n v="2"/>
    <m/>
    <m/>
    <m/>
    <m/>
    <m/>
    <m/>
    <m/>
    <m/>
    <m/>
    <n v="4"/>
    <m/>
    <m/>
    <m/>
    <x v="0"/>
  </r>
  <r>
    <s v="P0153"/>
    <n v="33"/>
    <s v="Female"/>
    <s v="Orthopedic"/>
    <s v="Neurology"/>
    <s v="Dr. Meena"/>
    <d v="2024-03-11T00:00:00"/>
    <d v="2024-03-16T00:00:00"/>
    <n v="105504"/>
    <s v="Government"/>
    <s v="Insurance Claim"/>
    <x v="4"/>
    <s v="Follow-up"/>
    <n v="1"/>
    <m/>
    <m/>
    <m/>
    <m/>
    <m/>
    <m/>
    <m/>
    <m/>
    <m/>
    <n v="3"/>
    <m/>
    <m/>
    <m/>
    <x v="9"/>
  </r>
  <r>
    <s v="P0154"/>
    <n v="37"/>
    <s v="Male"/>
    <s v="Cancer"/>
    <s v="Orthopedics"/>
    <s v="Dr. Arun"/>
    <d v="2025-06-13T00:00:00"/>
    <d v="2025-07-02T00:00:00"/>
    <n v="77793"/>
    <s v="Government"/>
    <s v="Insurance Claim"/>
    <x v="0"/>
    <s v="Recovered"/>
    <n v="1"/>
    <m/>
    <m/>
    <m/>
    <m/>
    <m/>
    <m/>
    <m/>
    <m/>
    <m/>
    <n v="6"/>
    <m/>
    <m/>
    <m/>
    <x v="11"/>
  </r>
  <r>
    <s v="P0155"/>
    <n v="69"/>
    <s v="Male"/>
    <s v="Infection"/>
    <s v="General Medicine"/>
    <s v="Dr. Arun"/>
    <d v="2025-12-13T00:00:00"/>
    <d v="2025-12-20T00:00:00"/>
    <n v="139349"/>
    <s v="Private"/>
    <s v="UPI"/>
    <x v="4"/>
    <s v="Recovered"/>
    <n v="5"/>
    <m/>
    <m/>
    <m/>
    <m/>
    <m/>
    <m/>
    <m/>
    <m/>
    <m/>
    <n v="12"/>
    <m/>
    <m/>
    <m/>
    <x v="2"/>
  </r>
  <r>
    <s v="P0156"/>
    <n v="37"/>
    <s v="Male"/>
    <s v="Respiratory"/>
    <s v="General Medicine"/>
    <s v="Dr. Meena"/>
    <d v="2024-04-21T00:00:00"/>
    <d v="2024-04-25T00:00:00"/>
    <n v="80456"/>
    <s v="None"/>
    <s v="UPI"/>
    <x v="0"/>
    <s v="Follow-up"/>
    <n v="5"/>
    <m/>
    <m/>
    <m/>
    <m/>
    <m/>
    <m/>
    <m/>
    <m/>
    <m/>
    <n v="4"/>
    <m/>
    <m/>
    <m/>
    <x v="0"/>
  </r>
  <r>
    <s v="P0157"/>
    <n v="60"/>
    <s v="Female"/>
    <s v="Infection"/>
    <s v="Pulmonology"/>
    <s v="Dr. Meena"/>
    <d v="2024-10-27T00:00:00"/>
    <d v="2024-11-07T00:00:00"/>
    <n v="170508"/>
    <s v="None"/>
    <s v="Cash"/>
    <x v="1"/>
    <s v="Follow-up"/>
    <n v="1"/>
    <m/>
    <m/>
    <m/>
    <m/>
    <m/>
    <m/>
    <m/>
    <m/>
    <m/>
    <n v="10"/>
    <m/>
    <m/>
    <m/>
    <x v="8"/>
  </r>
  <r>
    <s v="P0158"/>
    <n v="56"/>
    <s v="Male"/>
    <s v="Diabetes"/>
    <s v="Oncology"/>
    <s v="Dr. Kumar"/>
    <d v="2025-03-11T00:00:00"/>
    <d v="2025-03-13T00:00:00"/>
    <n v="150058"/>
    <s v="Private"/>
    <s v="Insurance Claim"/>
    <x v="3"/>
    <s v="Follow-up"/>
    <n v="2"/>
    <m/>
    <m/>
    <m/>
    <m/>
    <m/>
    <m/>
    <m/>
    <m/>
    <m/>
    <n v="3"/>
    <m/>
    <m/>
    <m/>
    <x v="9"/>
  </r>
  <r>
    <s v="P0159"/>
    <n v="80"/>
    <s v="Male"/>
    <s v="Neurological"/>
    <s v="Pulmonology"/>
    <s v="Dr. Arun"/>
    <d v="2024-08-30T00:00:00"/>
    <d v="2024-08-31T00:00:00"/>
    <n v="133382"/>
    <s v="Government"/>
    <s v="UPI"/>
    <x v="0"/>
    <s v="Under Treatment"/>
    <n v="2"/>
    <m/>
    <m/>
    <m/>
    <m/>
    <m/>
    <m/>
    <m/>
    <m/>
    <m/>
    <n v="8"/>
    <m/>
    <m/>
    <m/>
    <x v="10"/>
  </r>
  <r>
    <s v="P0160"/>
    <n v="23"/>
    <s v="Male"/>
    <s v="Cancer"/>
    <s v="Neurology"/>
    <s v="Dr. Arun"/>
    <d v="2024-01-17T00:00:00"/>
    <d v="2024-01-23T00:00:00"/>
    <n v="195577"/>
    <s v="Government"/>
    <s v="Card"/>
    <x v="1"/>
    <s v="Follow-up"/>
    <n v="5"/>
    <m/>
    <m/>
    <m/>
    <m/>
    <m/>
    <m/>
    <m/>
    <m/>
    <m/>
    <n v="1"/>
    <m/>
    <m/>
    <m/>
    <x v="4"/>
  </r>
  <r>
    <s v="P0161"/>
    <n v="70"/>
    <s v="Male"/>
    <s v="Infection"/>
    <s v="Neurology"/>
    <s v="Dr. Meena"/>
    <d v="2025-04-16T00:00:00"/>
    <d v="2025-04-17T00:00:00"/>
    <n v="69573"/>
    <s v="Private"/>
    <s v="Insurance Claim"/>
    <x v="3"/>
    <s v="Under Treatment"/>
    <n v="1"/>
    <m/>
    <m/>
    <m/>
    <m/>
    <m/>
    <m/>
    <m/>
    <m/>
    <m/>
    <n v="4"/>
    <m/>
    <m/>
    <m/>
    <x v="0"/>
  </r>
  <r>
    <s v="P0162"/>
    <n v="75"/>
    <s v="Female"/>
    <s v="Cancer"/>
    <s v="Orthopedics"/>
    <s v="Dr. Meena"/>
    <d v="2025-12-19T00:00:00"/>
    <d v="2026-01-03T00:00:00"/>
    <n v="57959"/>
    <s v="Corporate"/>
    <s v="UPI"/>
    <x v="2"/>
    <s v="Under Treatment"/>
    <n v="3"/>
    <m/>
    <m/>
    <m/>
    <m/>
    <m/>
    <m/>
    <m/>
    <m/>
    <m/>
    <n v="12"/>
    <m/>
    <m/>
    <m/>
    <x v="2"/>
  </r>
  <r>
    <s v="P0163"/>
    <n v="33"/>
    <s v="Female"/>
    <s v="Neurological"/>
    <s v="Neurology"/>
    <s v="Dr. Meena"/>
    <d v="2025-10-08T00:00:00"/>
    <d v="2025-10-22T00:00:00"/>
    <n v="8435"/>
    <s v="None"/>
    <s v="Card"/>
    <x v="4"/>
    <s v="Follow-up"/>
    <n v="1"/>
    <m/>
    <m/>
    <m/>
    <m/>
    <m/>
    <m/>
    <m/>
    <m/>
    <m/>
    <n v="10"/>
    <m/>
    <m/>
    <m/>
    <x v="8"/>
  </r>
  <r>
    <s v="P0164"/>
    <n v="52"/>
    <s v="Male"/>
    <s v="Orthopedic"/>
    <s v="Orthopedics"/>
    <s v="Dr. Raj"/>
    <d v="2024-09-03T00:00:00"/>
    <d v="2024-09-09T00:00:00"/>
    <n v="53147"/>
    <s v="Corporate"/>
    <s v="Card"/>
    <x v="2"/>
    <s v="Recovered"/>
    <n v="1"/>
    <m/>
    <m/>
    <m/>
    <m/>
    <m/>
    <m/>
    <m/>
    <m/>
    <m/>
    <n v="9"/>
    <m/>
    <m/>
    <m/>
    <x v="1"/>
  </r>
  <r>
    <s v="P0165"/>
    <n v="69"/>
    <s v="Female"/>
    <s v="Infection"/>
    <s v="Pulmonology"/>
    <s v="Dr. Raj"/>
    <d v="2025-11-26T00:00:00"/>
    <d v="2025-12-02T00:00:00"/>
    <n v="46295"/>
    <s v="Private"/>
    <s v="Insurance Claim"/>
    <x v="3"/>
    <s v="Follow-up"/>
    <n v="5"/>
    <m/>
    <m/>
    <m/>
    <m/>
    <m/>
    <m/>
    <m/>
    <m/>
    <m/>
    <n v="11"/>
    <m/>
    <m/>
    <m/>
    <x v="6"/>
  </r>
  <r>
    <s v="P0166"/>
    <n v="34"/>
    <s v="Female"/>
    <s v="Cardiac"/>
    <s v="General Medicine"/>
    <s v="Dr. Priya"/>
    <d v="2025-05-14T00:00:00"/>
    <d v="2025-05-16T00:00:00"/>
    <n v="233010"/>
    <s v="Corporate"/>
    <s v="Cash"/>
    <x v="1"/>
    <s v="Recovered"/>
    <n v="5"/>
    <m/>
    <m/>
    <m/>
    <m/>
    <m/>
    <m/>
    <m/>
    <m/>
    <m/>
    <n v="5"/>
    <m/>
    <m/>
    <m/>
    <x v="5"/>
  </r>
  <r>
    <s v="P0167"/>
    <n v="79"/>
    <s v="Male"/>
    <s v="Orthopedic"/>
    <s v="Neurology"/>
    <s v="Dr. Priya"/>
    <d v="2025-01-25T00:00:00"/>
    <d v="2025-02-12T00:00:00"/>
    <n v="221369"/>
    <s v="None"/>
    <s v="Cash"/>
    <x v="3"/>
    <s v="Recovered"/>
    <n v="5"/>
    <m/>
    <m/>
    <m/>
    <m/>
    <m/>
    <m/>
    <m/>
    <m/>
    <m/>
    <n v="1"/>
    <m/>
    <m/>
    <m/>
    <x v="4"/>
  </r>
  <r>
    <s v="P0168"/>
    <n v="71"/>
    <s v="Male"/>
    <s v="Diabetes"/>
    <s v="Cardiology"/>
    <s v="Dr. Arun"/>
    <d v="2024-12-31T00:00:00"/>
    <d v="2025-01-07T00:00:00"/>
    <n v="156452"/>
    <s v="Corporate"/>
    <s v="UPI"/>
    <x v="1"/>
    <s v="Recovered"/>
    <n v="4"/>
    <m/>
    <m/>
    <m/>
    <m/>
    <m/>
    <m/>
    <m/>
    <m/>
    <m/>
    <n v="12"/>
    <m/>
    <m/>
    <m/>
    <x v="2"/>
  </r>
  <r>
    <s v="P0169"/>
    <n v="40"/>
    <s v="Male"/>
    <s v="Orthopedic"/>
    <s v="General Medicine"/>
    <s v="Dr. Arun"/>
    <d v="2025-04-25T00:00:00"/>
    <d v="2025-05-07T00:00:00"/>
    <n v="197059"/>
    <s v="None"/>
    <s v="UPI"/>
    <x v="0"/>
    <s v="Follow-up"/>
    <n v="5"/>
    <m/>
    <m/>
    <m/>
    <m/>
    <m/>
    <m/>
    <m/>
    <m/>
    <m/>
    <n v="4"/>
    <m/>
    <m/>
    <m/>
    <x v="0"/>
  </r>
  <r>
    <s v="P0170"/>
    <n v="49"/>
    <s v="Male"/>
    <s v="Respiratory"/>
    <s v="Cardiology"/>
    <s v="Dr. Priya"/>
    <d v="2025-06-22T00:00:00"/>
    <d v="2025-07-08T00:00:00"/>
    <n v="156278"/>
    <s v="Private"/>
    <s v="Cash"/>
    <x v="0"/>
    <s v="Under Treatment"/>
    <n v="4"/>
    <m/>
    <m/>
    <m/>
    <m/>
    <m/>
    <m/>
    <m/>
    <m/>
    <m/>
    <n v="6"/>
    <m/>
    <m/>
    <m/>
    <x v="11"/>
  </r>
  <r>
    <s v="P0171"/>
    <n v="63"/>
    <s v="Male"/>
    <s v="Cancer"/>
    <s v="Oncology"/>
    <s v="Dr. Kumar"/>
    <d v="2024-08-13T00:00:00"/>
    <d v="2024-08-28T00:00:00"/>
    <n v="137111"/>
    <s v="None"/>
    <s v="Insurance Claim"/>
    <x v="0"/>
    <s v="Recovered"/>
    <n v="4"/>
    <m/>
    <m/>
    <m/>
    <m/>
    <m/>
    <m/>
    <m/>
    <m/>
    <m/>
    <n v="8"/>
    <m/>
    <m/>
    <m/>
    <x v="10"/>
  </r>
  <r>
    <s v="P0172"/>
    <n v="23"/>
    <s v="Male"/>
    <s v="Cardiac"/>
    <s v="General Medicine"/>
    <s v="Dr. Arun"/>
    <d v="2025-03-29T00:00:00"/>
    <d v="2025-04-04T00:00:00"/>
    <n v="101754"/>
    <s v="Private"/>
    <s v="UPI"/>
    <x v="1"/>
    <s v="Follow-up"/>
    <n v="5"/>
    <m/>
    <m/>
    <m/>
    <m/>
    <m/>
    <m/>
    <m/>
    <m/>
    <m/>
    <n v="3"/>
    <m/>
    <m/>
    <m/>
    <x v="9"/>
  </r>
  <r>
    <s v="P0173"/>
    <n v="65"/>
    <s v="Male"/>
    <s v="Neurological"/>
    <s v="Orthopedics"/>
    <s v="Dr. Raj"/>
    <d v="2024-10-17T00:00:00"/>
    <d v="2024-10-19T00:00:00"/>
    <n v="159749"/>
    <s v="None"/>
    <s v="Card"/>
    <x v="2"/>
    <s v="Under Treatment"/>
    <n v="4"/>
    <m/>
    <m/>
    <m/>
    <m/>
    <m/>
    <m/>
    <m/>
    <m/>
    <m/>
    <n v="10"/>
    <m/>
    <m/>
    <m/>
    <x v="8"/>
  </r>
  <r>
    <s v="P0174"/>
    <n v="74"/>
    <s v="Female"/>
    <s v="Cardiac"/>
    <s v="Neurology"/>
    <s v="Dr. Kumar"/>
    <d v="2025-06-13T00:00:00"/>
    <d v="2025-06-15T00:00:00"/>
    <n v="142859"/>
    <s v="None"/>
    <s v="UPI"/>
    <x v="0"/>
    <s v="Follow-up"/>
    <n v="3"/>
    <m/>
    <m/>
    <m/>
    <m/>
    <m/>
    <m/>
    <m/>
    <m/>
    <m/>
    <n v="6"/>
    <m/>
    <m/>
    <m/>
    <x v="11"/>
  </r>
  <r>
    <s v="P0175"/>
    <n v="27"/>
    <s v="Female"/>
    <s v="Infection"/>
    <s v="Orthopedics"/>
    <s v="Dr. Kumar"/>
    <d v="2025-10-24T00:00:00"/>
    <d v="2025-10-26T00:00:00"/>
    <n v="79866"/>
    <s v="Corporate"/>
    <s v="Card"/>
    <x v="0"/>
    <s v="Under Treatment"/>
    <n v="4"/>
    <m/>
    <m/>
    <m/>
    <m/>
    <m/>
    <m/>
    <m/>
    <m/>
    <m/>
    <n v="10"/>
    <m/>
    <m/>
    <m/>
    <x v="8"/>
  </r>
  <r>
    <s v="P0176"/>
    <n v="57"/>
    <s v="Male"/>
    <s v="Orthopedic"/>
    <s v="Orthopedics"/>
    <s v="Dr. Arun"/>
    <d v="2024-05-27T00:00:00"/>
    <d v="2024-05-28T00:00:00"/>
    <n v="65118"/>
    <s v="Private"/>
    <s v="Card"/>
    <x v="0"/>
    <s v="Under Treatment"/>
    <n v="1"/>
    <m/>
    <m/>
    <m/>
    <m/>
    <m/>
    <m/>
    <m/>
    <m/>
    <m/>
    <n v="5"/>
    <m/>
    <m/>
    <m/>
    <x v="5"/>
  </r>
  <r>
    <s v="P0177"/>
    <n v="19"/>
    <s v="Male"/>
    <s v="Respiratory"/>
    <s v="Neurology"/>
    <s v="Dr. Priya"/>
    <d v="2025-06-12T00:00:00"/>
    <d v="2025-06-19T00:00:00"/>
    <n v="49466"/>
    <s v="Private"/>
    <s v="Insurance Claim"/>
    <x v="1"/>
    <s v="Under Treatment"/>
    <n v="5"/>
    <m/>
    <m/>
    <m/>
    <m/>
    <m/>
    <m/>
    <m/>
    <m/>
    <m/>
    <n v="6"/>
    <m/>
    <m/>
    <m/>
    <x v="11"/>
  </r>
  <r>
    <s v="P0178"/>
    <n v="39"/>
    <s v="Male"/>
    <s v="Cancer"/>
    <s v="Oncology"/>
    <s v="Dr. Arun"/>
    <d v="2024-02-13T00:00:00"/>
    <d v="2024-02-24T00:00:00"/>
    <n v="226892"/>
    <s v="Corporate"/>
    <s v="UPI"/>
    <x v="1"/>
    <s v="Follow-up"/>
    <n v="3"/>
    <m/>
    <m/>
    <m/>
    <m/>
    <m/>
    <m/>
    <m/>
    <m/>
    <m/>
    <n v="2"/>
    <m/>
    <m/>
    <m/>
    <x v="3"/>
  </r>
  <r>
    <s v="P0179"/>
    <n v="81"/>
    <s v="Male"/>
    <s v="Infection"/>
    <s v="Cardiology"/>
    <s v="Dr. Meena"/>
    <d v="2025-01-09T00:00:00"/>
    <d v="2025-01-23T00:00:00"/>
    <n v="124835"/>
    <s v="Government"/>
    <s v="UPI"/>
    <x v="2"/>
    <s v="Under Treatment"/>
    <n v="5"/>
    <m/>
    <m/>
    <m/>
    <m/>
    <m/>
    <m/>
    <m/>
    <m/>
    <m/>
    <n v="1"/>
    <m/>
    <m/>
    <m/>
    <x v="4"/>
  </r>
  <r>
    <s v="P0180"/>
    <n v="45"/>
    <s v="Female"/>
    <s v="Neurological"/>
    <s v="General Medicine"/>
    <s v="Dr. Meena"/>
    <d v="2024-05-08T00:00:00"/>
    <d v="2024-05-26T00:00:00"/>
    <n v="113054"/>
    <s v="Government"/>
    <s v="Insurance Claim"/>
    <x v="0"/>
    <s v="Follow-up"/>
    <n v="2"/>
    <m/>
    <m/>
    <m/>
    <m/>
    <m/>
    <m/>
    <m/>
    <m/>
    <m/>
    <n v="5"/>
    <m/>
    <m/>
    <m/>
    <x v="5"/>
  </r>
  <r>
    <s v="P0181"/>
    <n v="39"/>
    <s v="Female"/>
    <s v="Respiratory"/>
    <s v="Oncology"/>
    <s v="Dr. Raj"/>
    <d v="2025-04-06T00:00:00"/>
    <d v="2025-04-13T00:00:00"/>
    <n v="85670"/>
    <s v="Corporate"/>
    <s v="Insurance Claim"/>
    <x v="1"/>
    <s v="Follow-up"/>
    <n v="5"/>
    <m/>
    <m/>
    <m/>
    <m/>
    <m/>
    <m/>
    <m/>
    <m/>
    <m/>
    <n v="4"/>
    <m/>
    <m/>
    <m/>
    <x v="0"/>
  </r>
  <r>
    <s v="P0182"/>
    <n v="61"/>
    <s v="Male"/>
    <s v="Orthopedic"/>
    <s v="Orthopedics"/>
    <s v="Dr. Priya"/>
    <d v="2025-09-04T00:00:00"/>
    <d v="2025-09-23T00:00:00"/>
    <n v="165807"/>
    <s v="Government"/>
    <s v="Cash"/>
    <x v="0"/>
    <s v="Under Treatment"/>
    <n v="5"/>
    <m/>
    <m/>
    <m/>
    <m/>
    <m/>
    <m/>
    <m/>
    <m/>
    <m/>
    <n v="9"/>
    <m/>
    <m/>
    <m/>
    <x v="1"/>
  </r>
  <r>
    <s v="P0183"/>
    <n v="64"/>
    <s v="Male"/>
    <s v="Diabetes"/>
    <s v="Orthopedics"/>
    <s v="Dr. Raj"/>
    <d v="2025-04-29T00:00:00"/>
    <d v="2025-05-06T00:00:00"/>
    <n v="48096"/>
    <s v="Private"/>
    <s v="UPI"/>
    <x v="1"/>
    <s v="Follow-up"/>
    <n v="3"/>
    <m/>
    <m/>
    <m/>
    <m/>
    <m/>
    <m/>
    <m/>
    <m/>
    <m/>
    <n v="4"/>
    <m/>
    <m/>
    <m/>
    <x v="0"/>
  </r>
  <r>
    <s v="P0184"/>
    <n v="19"/>
    <s v="Female"/>
    <s v="Infection"/>
    <s v="Neurology"/>
    <s v="Dr. Meena"/>
    <d v="2025-08-08T00:00:00"/>
    <d v="2025-08-23T00:00:00"/>
    <n v="225339"/>
    <s v="None"/>
    <s v="UPI"/>
    <x v="4"/>
    <s v="Under Treatment"/>
    <n v="1"/>
    <m/>
    <m/>
    <m/>
    <m/>
    <m/>
    <m/>
    <m/>
    <m/>
    <m/>
    <n v="8"/>
    <m/>
    <m/>
    <m/>
    <x v="10"/>
  </r>
  <r>
    <s v="P0185"/>
    <n v="49"/>
    <s v="Female"/>
    <s v="Infection"/>
    <s v="Oncology"/>
    <s v="Dr. Raj"/>
    <d v="2024-06-03T00:00:00"/>
    <d v="2024-06-17T00:00:00"/>
    <n v="152999"/>
    <s v="Private"/>
    <s v="Insurance Claim"/>
    <x v="4"/>
    <s v="Recovered"/>
    <n v="4"/>
    <m/>
    <m/>
    <m/>
    <m/>
    <m/>
    <m/>
    <m/>
    <m/>
    <m/>
    <n v="6"/>
    <m/>
    <m/>
    <m/>
    <x v="11"/>
  </r>
  <r>
    <s v="P0186"/>
    <n v="37"/>
    <s v="Female"/>
    <s v="Cardiac"/>
    <s v="Oncology"/>
    <s v="Dr. Arun"/>
    <d v="2025-05-24T00:00:00"/>
    <d v="2025-06-02T00:00:00"/>
    <n v="177657"/>
    <s v="None"/>
    <s v="Card"/>
    <x v="2"/>
    <s v="Recovered"/>
    <n v="3"/>
    <m/>
    <m/>
    <m/>
    <m/>
    <m/>
    <m/>
    <m/>
    <m/>
    <m/>
    <n v="5"/>
    <m/>
    <m/>
    <m/>
    <x v="5"/>
  </r>
  <r>
    <s v="P0187"/>
    <n v="21"/>
    <s v="Male"/>
    <s v="Respiratory"/>
    <s v="Oncology"/>
    <s v="Dr. Arun"/>
    <d v="2025-04-19T00:00:00"/>
    <d v="2025-05-09T00:00:00"/>
    <n v="117612"/>
    <s v="Corporate"/>
    <s v="Insurance Claim"/>
    <x v="0"/>
    <s v="Recovered"/>
    <n v="3"/>
    <m/>
    <m/>
    <m/>
    <m/>
    <m/>
    <m/>
    <m/>
    <m/>
    <m/>
    <n v="4"/>
    <m/>
    <m/>
    <m/>
    <x v="0"/>
  </r>
  <r>
    <s v="P0188"/>
    <n v="39"/>
    <s v="Female"/>
    <s v="Orthopedic"/>
    <s v="General Medicine"/>
    <s v="Dr. Priya"/>
    <d v="2025-02-16T00:00:00"/>
    <d v="2025-02-28T00:00:00"/>
    <n v="64512"/>
    <s v="Private"/>
    <s v="Cash"/>
    <x v="0"/>
    <s v="Recovered"/>
    <n v="5"/>
    <m/>
    <m/>
    <m/>
    <m/>
    <m/>
    <m/>
    <m/>
    <m/>
    <m/>
    <n v="2"/>
    <m/>
    <m/>
    <m/>
    <x v="3"/>
  </r>
  <r>
    <s v="P0189"/>
    <n v="46"/>
    <s v="Male"/>
    <s v="Cancer"/>
    <s v="General Medicine"/>
    <s v="Dr. Kumar"/>
    <d v="2024-04-23T00:00:00"/>
    <d v="2024-05-08T00:00:00"/>
    <n v="47747"/>
    <s v="Corporate"/>
    <s v="Cash"/>
    <x v="4"/>
    <s v="Follow-up"/>
    <n v="2"/>
    <m/>
    <m/>
    <m/>
    <m/>
    <m/>
    <m/>
    <m/>
    <m/>
    <m/>
    <n v="4"/>
    <m/>
    <m/>
    <m/>
    <x v="0"/>
  </r>
  <r>
    <s v="P0190"/>
    <n v="79"/>
    <s v="Male"/>
    <s v="Cancer"/>
    <s v="Neurology"/>
    <s v="Dr. Arun"/>
    <d v="2024-04-17T00:00:00"/>
    <d v="2024-04-26T00:00:00"/>
    <n v="29295"/>
    <s v="Corporate"/>
    <s v="Insurance Claim"/>
    <x v="4"/>
    <s v="Follow-up"/>
    <n v="2"/>
    <m/>
    <m/>
    <m/>
    <m/>
    <m/>
    <m/>
    <m/>
    <m/>
    <m/>
    <n v="4"/>
    <m/>
    <m/>
    <m/>
    <x v="0"/>
  </r>
  <r>
    <s v="P0191"/>
    <n v="34"/>
    <s v="Male"/>
    <s v="Orthopedic"/>
    <s v="Oncology"/>
    <s v="Dr. Raj"/>
    <d v="2024-10-15T00:00:00"/>
    <d v="2024-10-20T00:00:00"/>
    <n v="14328"/>
    <s v="Corporate"/>
    <s v="UPI"/>
    <x v="0"/>
    <s v="Under Treatment"/>
    <n v="3"/>
    <m/>
    <m/>
    <m/>
    <m/>
    <m/>
    <m/>
    <m/>
    <m/>
    <m/>
    <n v="10"/>
    <m/>
    <m/>
    <m/>
    <x v="8"/>
  </r>
  <r>
    <s v="P0192"/>
    <n v="85"/>
    <s v="Female"/>
    <s v="Diabetes"/>
    <s v="Neurology"/>
    <s v="Dr. Priya"/>
    <d v="2025-12-16T00:00:00"/>
    <d v="2025-12-17T00:00:00"/>
    <n v="39410"/>
    <s v="Government"/>
    <s v="Cash"/>
    <x v="4"/>
    <s v="Follow-up"/>
    <n v="1"/>
    <m/>
    <m/>
    <m/>
    <m/>
    <m/>
    <m/>
    <m/>
    <m/>
    <m/>
    <n v="12"/>
    <m/>
    <m/>
    <m/>
    <x v="2"/>
  </r>
  <r>
    <s v="P0193"/>
    <n v="25"/>
    <s v="Male"/>
    <s v="Cardiac"/>
    <s v="Orthopedics"/>
    <s v="Dr. Raj"/>
    <d v="2025-02-24T00:00:00"/>
    <d v="2025-03-05T00:00:00"/>
    <n v="19302"/>
    <s v="Corporate"/>
    <s v="Cash"/>
    <x v="3"/>
    <s v="Under Treatment"/>
    <n v="3"/>
    <m/>
    <m/>
    <m/>
    <m/>
    <m/>
    <m/>
    <m/>
    <m/>
    <m/>
    <n v="2"/>
    <m/>
    <m/>
    <m/>
    <x v="3"/>
  </r>
  <r>
    <s v="P0194"/>
    <n v="48"/>
    <s v="Male"/>
    <s v="Cardiac"/>
    <s v="Pulmonology"/>
    <s v="Dr. Arun"/>
    <d v="2024-01-31T00:00:00"/>
    <d v="2024-02-04T00:00:00"/>
    <n v="217449"/>
    <s v="None"/>
    <s v="Card"/>
    <x v="3"/>
    <s v="Recovered"/>
    <n v="4"/>
    <m/>
    <m/>
    <m/>
    <m/>
    <m/>
    <m/>
    <m/>
    <m/>
    <m/>
    <n v="1"/>
    <m/>
    <m/>
    <m/>
    <x v="4"/>
  </r>
  <r>
    <s v="P0195"/>
    <n v="61"/>
    <s v="Male"/>
    <s v="Infection"/>
    <s v="Pulmonology"/>
    <s v="Dr. Meena"/>
    <d v="2025-05-16T00:00:00"/>
    <d v="2025-06-03T00:00:00"/>
    <n v="234137"/>
    <s v="Corporate"/>
    <s v="Cash"/>
    <x v="1"/>
    <s v="Under Treatment"/>
    <n v="4"/>
    <m/>
    <m/>
    <m/>
    <m/>
    <m/>
    <m/>
    <m/>
    <m/>
    <m/>
    <n v="5"/>
    <m/>
    <m/>
    <m/>
    <x v="5"/>
  </r>
  <r>
    <s v="P0196"/>
    <n v="21"/>
    <s v="Female"/>
    <s v="Infection"/>
    <s v="Neurology"/>
    <s v="Dr. Priya"/>
    <d v="2024-03-24T00:00:00"/>
    <d v="2024-04-08T00:00:00"/>
    <n v="33092"/>
    <s v="Government"/>
    <s v="UPI"/>
    <x v="1"/>
    <s v="Under Treatment"/>
    <n v="2"/>
    <m/>
    <m/>
    <m/>
    <m/>
    <m/>
    <m/>
    <m/>
    <m/>
    <m/>
    <n v="3"/>
    <m/>
    <m/>
    <m/>
    <x v="9"/>
  </r>
  <r>
    <s v="P0197"/>
    <n v="47"/>
    <s v="Female"/>
    <s v="Cardiac"/>
    <s v="General Medicine"/>
    <s v="Dr. Kumar"/>
    <d v="2024-04-14T00:00:00"/>
    <d v="2024-04-19T00:00:00"/>
    <n v="23871"/>
    <s v="Government"/>
    <s v="Insurance Claim"/>
    <x v="4"/>
    <s v="Under Treatment"/>
    <n v="4"/>
    <m/>
    <m/>
    <m/>
    <m/>
    <m/>
    <m/>
    <m/>
    <m/>
    <m/>
    <n v="4"/>
    <m/>
    <m/>
    <m/>
    <x v="0"/>
  </r>
  <r>
    <s v="P0198"/>
    <n v="22"/>
    <s v="Male"/>
    <s v="Respiratory"/>
    <s v="Neurology"/>
    <s v="Dr. Raj"/>
    <d v="2024-09-07T00:00:00"/>
    <d v="2024-09-14T00:00:00"/>
    <n v="26433"/>
    <s v="Private"/>
    <s v="Insurance Claim"/>
    <x v="2"/>
    <s v="Under Treatment"/>
    <n v="5"/>
    <m/>
    <m/>
    <m/>
    <m/>
    <m/>
    <m/>
    <m/>
    <m/>
    <m/>
    <n v="9"/>
    <m/>
    <m/>
    <m/>
    <x v="1"/>
  </r>
  <r>
    <s v="P0199"/>
    <n v="43"/>
    <s v="Male"/>
    <s v="Neurological"/>
    <s v="Neurology"/>
    <s v="Dr. Raj"/>
    <d v="2024-08-09T00:00:00"/>
    <d v="2024-08-15T00:00:00"/>
    <n v="49538"/>
    <s v="Government"/>
    <s v="UPI"/>
    <x v="2"/>
    <s v="Follow-up"/>
    <n v="5"/>
    <m/>
    <m/>
    <m/>
    <m/>
    <m/>
    <m/>
    <m/>
    <m/>
    <m/>
    <n v="8"/>
    <m/>
    <m/>
    <m/>
    <x v="10"/>
  </r>
  <r>
    <s v="P0200"/>
    <n v="67"/>
    <s v="Female"/>
    <s v="Orthopedic"/>
    <s v="Orthopedics"/>
    <s v="Dr. Arun"/>
    <d v="2025-08-15T00:00:00"/>
    <d v="2025-08-27T00:00:00"/>
    <n v="178318"/>
    <s v="Private"/>
    <s v="Cash"/>
    <x v="1"/>
    <s v="Follow-up"/>
    <n v="4"/>
    <m/>
    <m/>
    <m/>
    <m/>
    <m/>
    <m/>
    <m/>
    <m/>
    <m/>
    <n v="8"/>
    <m/>
    <m/>
    <m/>
    <x v="10"/>
  </r>
  <r>
    <s v="P0201"/>
    <n v="53"/>
    <s v="Female"/>
    <s v="Cancer"/>
    <s v="Neurology"/>
    <s v="Dr. Raj"/>
    <d v="2024-09-18T00:00:00"/>
    <d v="2024-10-07T00:00:00"/>
    <n v="77730"/>
    <s v="None"/>
    <s v="Cash"/>
    <x v="0"/>
    <s v="Under Treatment"/>
    <n v="1"/>
    <m/>
    <m/>
    <m/>
    <m/>
    <m/>
    <m/>
    <m/>
    <m/>
    <m/>
    <n v="9"/>
    <m/>
    <m/>
    <m/>
    <x v="1"/>
  </r>
  <r>
    <s v="P0202"/>
    <n v="76"/>
    <s v="Male"/>
    <s v="Neurological"/>
    <s v="General Medicine"/>
    <s v="Dr. Kumar"/>
    <d v="2024-10-15T00:00:00"/>
    <d v="2024-10-24T00:00:00"/>
    <n v="111051"/>
    <s v="Government"/>
    <s v="Cash"/>
    <x v="1"/>
    <s v="Follow-up"/>
    <n v="5"/>
    <m/>
    <m/>
    <m/>
    <m/>
    <m/>
    <m/>
    <m/>
    <m/>
    <m/>
    <n v="10"/>
    <m/>
    <m/>
    <m/>
    <x v="8"/>
  </r>
  <r>
    <s v="P0203"/>
    <n v="53"/>
    <s v="Female"/>
    <s v="Diabetes"/>
    <s v="Pulmonology"/>
    <s v="Dr. Priya"/>
    <d v="2024-04-25T00:00:00"/>
    <d v="2024-05-12T00:00:00"/>
    <n v="41337"/>
    <s v="None"/>
    <s v="Cash"/>
    <x v="4"/>
    <s v="Under Treatment"/>
    <n v="1"/>
    <m/>
    <m/>
    <m/>
    <m/>
    <m/>
    <m/>
    <m/>
    <m/>
    <m/>
    <n v="4"/>
    <m/>
    <m/>
    <m/>
    <x v="0"/>
  </r>
  <r>
    <s v="P0204"/>
    <n v="49"/>
    <s v="Female"/>
    <s v="Orthopedic"/>
    <s v="Neurology"/>
    <s v="Dr. Meena"/>
    <d v="2025-07-29T00:00:00"/>
    <d v="2025-08-16T00:00:00"/>
    <n v="183685"/>
    <s v="None"/>
    <s v="Cash"/>
    <x v="0"/>
    <s v="Follow-up"/>
    <n v="1"/>
    <m/>
    <m/>
    <m/>
    <m/>
    <m/>
    <m/>
    <m/>
    <m/>
    <m/>
    <n v="7"/>
    <m/>
    <m/>
    <m/>
    <x v="7"/>
  </r>
  <r>
    <s v="P0205"/>
    <n v="54"/>
    <s v="Male"/>
    <s v="Diabetes"/>
    <s v="General Medicine"/>
    <s v="Dr. Raj"/>
    <d v="2025-09-26T00:00:00"/>
    <d v="2025-10-10T00:00:00"/>
    <n v="170867"/>
    <s v="Government"/>
    <s v="Insurance Claim"/>
    <x v="1"/>
    <s v="Under Treatment"/>
    <n v="1"/>
    <m/>
    <m/>
    <m/>
    <m/>
    <m/>
    <m/>
    <m/>
    <m/>
    <m/>
    <n v="9"/>
    <m/>
    <m/>
    <m/>
    <x v="1"/>
  </r>
  <r>
    <s v="P0206"/>
    <n v="50"/>
    <s v="Female"/>
    <s v="Orthopedic"/>
    <s v="Orthopedics"/>
    <s v="Dr. Arun"/>
    <d v="2024-12-15T00:00:00"/>
    <d v="2024-12-31T00:00:00"/>
    <n v="94186"/>
    <s v="None"/>
    <s v="Cash"/>
    <x v="2"/>
    <s v="Under Treatment"/>
    <n v="4"/>
    <m/>
    <m/>
    <m/>
    <m/>
    <m/>
    <m/>
    <m/>
    <m/>
    <m/>
    <n v="12"/>
    <m/>
    <m/>
    <m/>
    <x v="2"/>
  </r>
  <r>
    <s v="P0207"/>
    <n v="23"/>
    <s v="Male"/>
    <s v="Neurological"/>
    <s v="General Medicine"/>
    <s v="Dr. Kumar"/>
    <d v="2024-01-07T00:00:00"/>
    <d v="2024-01-11T00:00:00"/>
    <n v="207028"/>
    <s v="Government"/>
    <s v="Cash"/>
    <x v="1"/>
    <s v="Follow-up"/>
    <n v="3"/>
    <m/>
    <m/>
    <m/>
    <m/>
    <m/>
    <m/>
    <m/>
    <m/>
    <m/>
    <n v="1"/>
    <m/>
    <m/>
    <m/>
    <x v="4"/>
  </r>
  <r>
    <s v="P0208"/>
    <n v="40"/>
    <s v="Female"/>
    <s v="Diabetes"/>
    <s v="General Medicine"/>
    <s v="Dr. Priya"/>
    <d v="2025-11-17T00:00:00"/>
    <d v="2025-12-04T00:00:00"/>
    <n v="157714"/>
    <s v="Corporate"/>
    <s v="Cash"/>
    <x v="2"/>
    <s v="Recovered"/>
    <n v="4"/>
    <m/>
    <m/>
    <m/>
    <m/>
    <m/>
    <m/>
    <m/>
    <m/>
    <m/>
    <n v="11"/>
    <m/>
    <m/>
    <m/>
    <x v="6"/>
  </r>
  <r>
    <s v="P0209"/>
    <n v="44"/>
    <s v="Male"/>
    <s v="Cancer"/>
    <s v="Orthopedics"/>
    <s v="Dr. Raj"/>
    <d v="2025-10-28T00:00:00"/>
    <d v="2025-11-16T00:00:00"/>
    <n v="185220"/>
    <s v="None"/>
    <s v="UPI"/>
    <x v="0"/>
    <s v="Under Treatment"/>
    <n v="5"/>
    <m/>
    <m/>
    <m/>
    <m/>
    <m/>
    <m/>
    <m/>
    <m/>
    <m/>
    <n v="10"/>
    <m/>
    <m/>
    <m/>
    <x v="8"/>
  </r>
  <r>
    <s v="P0210"/>
    <n v="22"/>
    <s v="Female"/>
    <s v="Orthopedic"/>
    <s v="Orthopedics"/>
    <s v="Dr. Arun"/>
    <d v="2024-08-10T00:00:00"/>
    <d v="2024-08-14T00:00:00"/>
    <n v="107362"/>
    <s v="Private"/>
    <s v="Card"/>
    <x v="4"/>
    <s v="Under Treatment"/>
    <n v="5"/>
    <m/>
    <m/>
    <m/>
    <m/>
    <m/>
    <m/>
    <m/>
    <m/>
    <m/>
    <n v="8"/>
    <m/>
    <m/>
    <m/>
    <x v="10"/>
  </r>
  <r>
    <s v="P0211"/>
    <n v="30"/>
    <s v="Female"/>
    <s v="Diabetes"/>
    <s v="Pulmonology"/>
    <s v="Dr. Kumar"/>
    <d v="2025-02-17T00:00:00"/>
    <d v="2025-02-28T00:00:00"/>
    <n v="118238"/>
    <s v="Government"/>
    <s v="Insurance Claim"/>
    <x v="0"/>
    <s v="Recovered"/>
    <n v="4"/>
    <m/>
    <m/>
    <m/>
    <m/>
    <m/>
    <m/>
    <m/>
    <m/>
    <m/>
    <n v="2"/>
    <m/>
    <m/>
    <m/>
    <x v="3"/>
  </r>
  <r>
    <s v="P0212"/>
    <n v="33"/>
    <s v="Female"/>
    <s v="Cardiac"/>
    <s v="Neurology"/>
    <s v="Dr. Meena"/>
    <d v="2024-03-17T00:00:00"/>
    <d v="2024-04-03T00:00:00"/>
    <n v="24163"/>
    <s v="None"/>
    <s v="UPI"/>
    <x v="1"/>
    <s v="Recovered"/>
    <n v="4"/>
    <m/>
    <m/>
    <m/>
    <m/>
    <m/>
    <m/>
    <m/>
    <m/>
    <m/>
    <n v="3"/>
    <m/>
    <m/>
    <m/>
    <x v="9"/>
  </r>
  <r>
    <s v="P0213"/>
    <n v="25"/>
    <s v="Male"/>
    <s v="Orthopedic"/>
    <s v="Cardiology"/>
    <s v="Dr. Kumar"/>
    <d v="2025-06-22T00:00:00"/>
    <d v="2025-07-03T00:00:00"/>
    <n v="106328"/>
    <s v="Corporate"/>
    <s v="Cash"/>
    <x v="3"/>
    <s v="Recovered"/>
    <n v="5"/>
    <m/>
    <m/>
    <m/>
    <m/>
    <m/>
    <m/>
    <m/>
    <m/>
    <m/>
    <n v="6"/>
    <m/>
    <m/>
    <m/>
    <x v="11"/>
  </r>
  <r>
    <s v="P0214"/>
    <n v="39"/>
    <s v="Male"/>
    <s v="Neurological"/>
    <s v="Neurology"/>
    <s v="Dr. Kumar"/>
    <d v="2024-10-02T00:00:00"/>
    <d v="2024-10-07T00:00:00"/>
    <n v="155015"/>
    <s v="Private"/>
    <s v="Card"/>
    <x v="2"/>
    <s v="Follow-up"/>
    <n v="4"/>
    <m/>
    <m/>
    <m/>
    <m/>
    <m/>
    <m/>
    <m/>
    <m/>
    <m/>
    <n v="10"/>
    <m/>
    <m/>
    <m/>
    <x v="8"/>
  </r>
  <r>
    <s v="P0215"/>
    <n v="33"/>
    <s v="Female"/>
    <s v="Neurological"/>
    <s v="Neurology"/>
    <s v="Dr. Priya"/>
    <d v="2024-05-31T00:00:00"/>
    <d v="2024-06-08T00:00:00"/>
    <n v="26021"/>
    <s v="None"/>
    <s v="Cash"/>
    <x v="2"/>
    <s v="Under Treatment"/>
    <n v="3"/>
    <m/>
    <m/>
    <m/>
    <m/>
    <m/>
    <m/>
    <m/>
    <m/>
    <m/>
    <n v="5"/>
    <m/>
    <m/>
    <m/>
    <x v="5"/>
  </r>
  <r>
    <s v="P0216"/>
    <n v="38"/>
    <s v="Female"/>
    <s v="Diabetes"/>
    <s v="Orthopedics"/>
    <s v="Dr. Raj"/>
    <d v="2024-06-16T00:00:00"/>
    <d v="2024-06-17T00:00:00"/>
    <n v="67746"/>
    <s v="Private"/>
    <s v="Cash"/>
    <x v="0"/>
    <s v="Recovered"/>
    <n v="3"/>
    <m/>
    <m/>
    <m/>
    <m/>
    <m/>
    <m/>
    <m/>
    <m/>
    <m/>
    <n v="6"/>
    <m/>
    <m/>
    <m/>
    <x v="11"/>
  </r>
  <r>
    <s v="P0217"/>
    <n v="69"/>
    <s v="Male"/>
    <s v="Cancer"/>
    <s v="Oncology"/>
    <s v="Dr. Arun"/>
    <d v="2024-10-17T00:00:00"/>
    <d v="2024-10-26T00:00:00"/>
    <n v="209187"/>
    <s v="Corporate"/>
    <s v="Insurance Claim"/>
    <x v="0"/>
    <s v="Under Treatment"/>
    <n v="1"/>
    <m/>
    <m/>
    <m/>
    <m/>
    <m/>
    <m/>
    <m/>
    <m/>
    <m/>
    <n v="10"/>
    <m/>
    <m/>
    <m/>
    <x v="8"/>
  </r>
  <r>
    <s v="P0218"/>
    <n v="76"/>
    <s v="Female"/>
    <s v="Cancer"/>
    <s v="General Medicine"/>
    <s v="Dr. Arun"/>
    <d v="2025-07-19T00:00:00"/>
    <d v="2025-07-30T00:00:00"/>
    <n v="190845"/>
    <s v="None"/>
    <s v="UPI"/>
    <x v="0"/>
    <s v="Follow-up"/>
    <n v="1"/>
    <m/>
    <m/>
    <m/>
    <m/>
    <m/>
    <m/>
    <m/>
    <m/>
    <m/>
    <n v="7"/>
    <m/>
    <m/>
    <m/>
    <x v="7"/>
  </r>
  <r>
    <s v="P0219"/>
    <n v="66"/>
    <s v="Male"/>
    <s v="Orthopedic"/>
    <s v="General Medicine"/>
    <s v="Dr. Meena"/>
    <d v="2024-05-20T00:00:00"/>
    <d v="2024-06-07T00:00:00"/>
    <n v="208235"/>
    <s v="Private"/>
    <s v="Card"/>
    <x v="4"/>
    <s v="Under Treatment"/>
    <n v="1"/>
    <m/>
    <m/>
    <m/>
    <m/>
    <m/>
    <m/>
    <m/>
    <m/>
    <m/>
    <n v="5"/>
    <m/>
    <m/>
    <m/>
    <x v="5"/>
  </r>
  <r>
    <s v="P0220"/>
    <n v="51"/>
    <s v="Female"/>
    <s v="Cancer"/>
    <s v="Pulmonology"/>
    <s v="Dr. Priya"/>
    <d v="2025-06-18T00:00:00"/>
    <d v="2025-06-19T00:00:00"/>
    <n v="135332"/>
    <s v="Private"/>
    <s v="Cash"/>
    <x v="4"/>
    <s v="Recovered"/>
    <n v="2"/>
    <m/>
    <m/>
    <m/>
    <m/>
    <m/>
    <m/>
    <m/>
    <m/>
    <m/>
    <n v="6"/>
    <m/>
    <m/>
    <m/>
    <x v="11"/>
  </r>
  <r>
    <s v="P0221"/>
    <n v="72"/>
    <s v="Female"/>
    <s v="Cardiac"/>
    <s v="Neurology"/>
    <s v="Dr. Raj"/>
    <d v="2025-02-19T00:00:00"/>
    <d v="2025-03-05T00:00:00"/>
    <n v="162337"/>
    <s v="Private"/>
    <s v="UPI"/>
    <x v="3"/>
    <s v="Under Treatment"/>
    <n v="4"/>
    <m/>
    <m/>
    <m/>
    <m/>
    <m/>
    <m/>
    <m/>
    <m/>
    <m/>
    <n v="2"/>
    <m/>
    <m/>
    <m/>
    <x v="3"/>
  </r>
  <r>
    <s v="P0222"/>
    <n v="22"/>
    <s v="Male"/>
    <s v="Respiratory"/>
    <s v="Oncology"/>
    <s v="Dr. Raj"/>
    <d v="2025-02-22T00:00:00"/>
    <d v="2025-03-02T00:00:00"/>
    <n v="243034"/>
    <s v="Corporate"/>
    <s v="Card"/>
    <x v="3"/>
    <s v="Recovered"/>
    <n v="3"/>
    <m/>
    <m/>
    <m/>
    <m/>
    <m/>
    <m/>
    <m/>
    <m/>
    <m/>
    <n v="2"/>
    <m/>
    <m/>
    <m/>
    <x v="3"/>
  </r>
  <r>
    <s v="P0223"/>
    <n v="81"/>
    <s v="Female"/>
    <s v="Neurological"/>
    <s v="Pulmonology"/>
    <s v="Dr. Raj"/>
    <d v="2024-05-06T00:00:00"/>
    <d v="2024-05-18T00:00:00"/>
    <n v="182799"/>
    <s v="Government"/>
    <s v="Card"/>
    <x v="1"/>
    <s v="Follow-up"/>
    <n v="2"/>
    <m/>
    <m/>
    <m/>
    <m/>
    <m/>
    <m/>
    <m/>
    <m/>
    <m/>
    <n v="5"/>
    <m/>
    <m/>
    <m/>
    <x v="5"/>
  </r>
  <r>
    <s v="P0224"/>
    <n v="45"/>
    <s v="Female"/>
    <s v="Neurological"/>
    <s v="Orthopedics"/>
    <s v="Dr. Arun"/>
    <d v="2024-09-09T00:00:00"/>
    <d v="2024-09-19T00:00:00"/>
    <n v="81594"/>
    <s v="Corporate"/>
    <s v="Cash"/>
    <x v="3"/>
    <s v="Under Treatment"/>
    <n v="1"/>
    <m/>
    <m/>
    <m/>
    <m/>
    <m/>
    <m/>
    <m/>
    <m/>
    <m/>
    <n v="9"/>
    <m/>
    <m/>
    <m/>
    <x v="1"/>
  </r>
  <r>
    <s v="P0225"/>
    <n v="33"/>
    <s v="Female"/>
    <s v="Respiratory"/>
    <s v="Oncology"/>
    <s v="Dr. Kumar"/>
    <d v="2025-11-17T00:00:00"/>
    <d v="2025-11-28T00:00:00"/>
    <n v="110837"/>
    <s v="Corporate"/>
    <s v="Cash"/>
    <x v="2"/>
    <s v="Recovered"/>
    <n v="5"/>
    <m/>
    <m/>
    <m/>
    <m/>
    <m/>
    <m/>
    <m/>
    <m/>
    <m/>
    <n v="11"/>
    <m/>
    <m/>
    <m/>
    <x v="6"/>
  </r>
  <r>
    <s v="P0226"/>
    <n v="27"/>
    <s v="Female"/>
    <s v="Orthopedic"/>
    <s v="Neurology"/>
    <s v="Dr. Meena"/>
    <d v="2024-12-15T00:00:00"/>
    <d v="2025-01-03T00:00:00"/>
    <n v="249707"/>
    <s v="None"/>
    <s v="Cash"/>
    <x v="0"/>
    <s v="Follow-up"/>
    <n v="1"/>
    <m/>
    <m/>
    <m/>
    <m/>
    <m/>
    <m/>
    <m/>
    <m/>
    <m/>
    <n v="12"/>
    <m/>
    <m/>
    <m/>
    <x v="2"/>
  </r>
  <r>
    <s v="P0227"/>
    <n v="23"/>
    <s v="Male"/>
    <s v="Diabetes"/>
    <s v="Cardiology"/>
    <s v="Dr. Raj"/>
    <d v="2025-11-06T00:00:00"/>
    <d v="2025-11-19T00:00:00"/>
    <n v="21898"/>
    <s v="Corporate"/>
    <s v="Cash"/>
    <x v="4"/>
    <s v="Recovered"/>
    <n v="4"/>
    <m/>
    <m/>
    <m/>
    <m/>
    <m/>
    <m/>
    <m/>
    <m/>
    <m/>
    <n v="11"/>
    <m/>
    <m/>
    <m/>
    <x v="6"/>
  </r>
  <r>
    <s v="P0228"/>
    <n v="83"/>
    <s v="Female"/>
    <s v="Cancer"/>
    <s v="Pulmonology"/>
    <s v="Dr. Arun"/>
    <d v="2024-07-27T00:00:00"/>
    <d v="2024-08-10T00:00:00"/>
    <n v="118649"/>
    <s v="Corporate"/>
    <s v="UPI"/>
    <x v="4"/>
    <s v="Recovered"/>
    <n v="2"/>
    <m/>
    <m/>
    <m/>
    <m/>
    <m/>
    <m/>
    <m/>
    <m/>
    <m/>
    <n v="7"/>
    <m/>
    <m/>
    <m/>
    <x v="7"/>
  </r>
  <r>
    <s v="P0229"/>
    <n v="43"/>
    <s v="Female"/>
    <s v="Diabetes"/>
    <s v="Orthopedics"/>
    <s v="Dr. Kumar"/>
    <d v="2025-11-29T00:00:00"/>
    <d v="2025-12-19T00:00:00"/>
    <n v="174592"/>
    <s v="Corporate"/>
    <s v="UPI"/>
    <x v="4"/>
    <s v="Recovered"/>
    <n v="3"/>
    <m/>
    <m/>
    <m/>
    <m/>
    <m/>
    <m/>
    <m/>
    <m/>
    <m/>
    <n v="11"/>
    <m/>
    <m/>
    <m/>
    <x v="6"/>
  </r>
  <r>
    <s v="P0230"/>
    <n v="78"/>
    <s v="Female"/>
    <s v="Neurological"/>
    <s v="Cardiology"/>
    <s v="Dr. Kumar"/>
    <d v="2025-11-24T00:00:00"/>
    <d v="2025-12-05T00:00:00"/>
    <n v="27900"/>
    <s v="Corporate"/>
    <s v="UPI"/>
    <x v="3"/>
    <s v="Follow-up"/>
    <n v="2"/>
    <m/>
    <m/>
    <m/>
    <m/>
    <m/>
    <m/>
    <m/>
    <m/>
    <m/>
    <n v="11"/>
    <m/>
    <m/>
    <m/>
    <x v="6"/>
  </r>
  <r>
    <s v="P0231"/>
    <n v="85"/>
    <s v="Female"/>
    <s v="Cardiac"/>
    <s v="Pulmonology"/>
    <s v="Dr. Priya"/>
    <d v="2024-12-28T00:00:00"/>
    <d v="2025-01-15T00:00:00"/>
    <n v="163363"/>
    <s v="Government"/>
    <s v="Card"/>
    <x v="3"/>
    <s v="Follow-up"/>
    <n v="5"/>
    <m/>
    <m/>
    <m/>
    <m/>
    <m/>
    <m/>
    <m/>
    <m/>
    <m/>
    <n v="12"/>
    <m/>
    <m/>
    <m/>
    <x v="2"/>
  </r>
  <r>
    <s v="P0232"/>
    <n v="19"/>
    <s v="Female"/>
    <s v="Cancer"/>
    <s v="Orthopedics"/>
    <s v="Dr. Meena"/>
    <d v="2024-01-12T00:00:00"/>
    <d v="2024-01-18T00:00:00"/>
    <n v="151200"/>
    <s v="Private"/>
    <s v="Card"/>
    <x v="3"/>
    <s v="Recovered"/>
    <n v="3"/>
    <m/>
    <m/>
    <m/>
    <m/>
    <m/>
    <m/>
    <m/>
    <m/>
    <m/>
    <n v="1"/>
    <m/>
    <m/>
    <m/>
    <x v="4"/>
  </r>
  <r>
    <s v="P0233"/>
    <n v="84"/>
    <s v="Male"/>
    <s v="Cancer"/>
    <s v="Neurology"/>
    <s v="Dr. Raj"/>
    <d v="2025-06-07T00:00:00"/>
    <d v="2025-06-21T00:00:00"/>
    <n v="232288"/>
    <s v="Private"/>
    <s v="Cash"/>
    <x v="1"/>
    <s v="Under Treatment"/>
    <n v="5"/>
    <m/>
    <m/>
    <m/>
    <m/>
    <m/>
    <m/>
    <m/>
    <m/>
    <m/>
    <n v="6"/>
    <m/>
    <m/>
    <m/>
    <x v="11"/>
  </r>
  <r>
    <s v="P0234"/>
    <n v="78"/>
    <s v="Male"/>
    <s v="Orthopedic"/>
    <s v="Neurology"/>
    <s v="Dr. Priya"/>
    <d v="2024-02-08T00:00:00"/>
    <d v="2024-02-19T00:00:00"/>
    <n v="29593"/>
    <s v="None"/>
    <s v="UPI"/>
    <x v="1"/>
    <s v="Recovered"/>
    <n v="3"/>
    <m/>
    <m/>
    <m/>
    <m/>
    <m/>
    <m/>
    <m/>
    <m/>
    <m/>
    <n v="2"/>
    <m/>
    <m/>
    <m/>
    <x v="3"/>
  </r>
  <r>
    <s v="P0235"/>
    <n v="53"/>
    <s v="Male"/>
    <s v="Neurological"/>
    <s v="Cardiology"/>
    <s v="Dr. Kumar"/>
    <d v="2024-01-26T00:00:00"/>
    <d v="2024-02-09T00:00:00"/>
    <n v="165494"/>
    <s v="Government"/>
    <s v="Insurance Claim"/>
    <x v="0"/>
    <s v="Follow-up"/>
    <n v="2"/>
    <m/>
    <m/>
    <m/>
    <m/>
    <m/>
    <m/>
    <m/>
    <m/>
    <m/>
    <n v="1"/>
    <m/>
    <m/>
    <m/>
    <x v="4"/>
  </r>
  <r>
    <s v="P0236"/>
    <n v="60"/>
    <s v="Female"/>
    <s v="Respiratory"/>
    <s v="General Medicine"/>
    <s v="Dr. Meena"/>
    <d v="2025-04-02T00:00:00"/>
    <d v="2025-04-12T00:00:00"/>
    <n v="130439"/>
    <s v="Government"/>
    <s v="Cash"/>
    <x v="2"/>
    <s v="Recovered"/>
    <n v="2"/>
    <m/>
    <m/>
    <m/>
    <m/>
    <m/>
    <m/>
    <m/>
    <m/>
    <m/>
    <n v="4"/>
    <m/>
    <m/>
    <m/>
    <x v="0"/>
  </r>
  <r>
    <s v="P0237"/>
    <n v="47"/>
    <s v="Female"/>
    <s v="Cardiac"/>
    <s v="Orthopedics"/>
    <s v="Dr. Priya"/>
    <d v="2025-03-21T00:00:00"/>
    <d v="2025-04-05T00:00:00"/>
    <n v="72935"/>
    <s v="Private"/>
    <s v="Card"/>
    <x v="0"/>
    <s v="Under Treatment"/>
    <n v="2"/>
    <m/>
    <m/>
    <m/>
    <m/>
    <m/>
    <m/>
    <m/>
    <m/>
    <m/>
    <n v="3"/>
    <m/>
    <m/>
    <m/>
    <x v="9"/>
  </r>
  <r>
    <s v="P0238"/>
    <n v="22"/>
    <s v="Female"/>
    <s v="Cardiac"/>
    <s v="Orthopedics"/>
    <s v="Dr. Arun"/>
    <d v="2025-07-16T00:00:00"/>
    <d v="2025-07-27T00:00:00"/>
    <n v="50521"/>
    <s v="Government"/>
    <s v="UPI"/>
    <x v="0"/>
    <s v="Recovered"/>
    <n v="5"/>
    <m/>
    <m/>
    <m/>
    <m/>
    <m/>
    <m/>
    <m/>
    <m/>
    <m/>
    <n v="7"/>
    <m/>
    <m/>
    <m/>
    <x v="7"/>
  </r>
  <r>
    <s v="P0239"/>
    <n v="78"/>
    <s v="Female"/>
    <s v="Respiratory"/>
    <s v="Pulmonology"/>
    <s v="Dr. Priya"/>
    <d v="2024-07-01T00:00:00"/>
    <d v="2024-07-12T00:00:00"/>
    <n v="143030"/>
    <s v="Private"/>
    <s v="Cash"/>
    <x v="1"/>
    <s v="Under Treatment"/>
    <n v="4"/>
    <m/>
    <m/>
    <m/>
    <m/>
    <m/>
    <m/>
    <m/>
    <m/>
    <m/>
    <n v="7"/>
    <m/>
    <m/>
    <m/>
    <x v="7"/>
  </r>
  <r>
    <s v="P0240"/>
    <n v="25"/>
    <s v="Female"/>
    <s v="Infection"/>
    <s v="Cardiology"/>
    <s v="Dr. Kumar"/>
    <d v="2024-06-02T00:00:00"/>
    <d v="2024-06-03T00:00:00"/>
    <n v="152432"/>
    <s v="None"/>
    <s v="Insurance Claim"/>
    <x v="4"/>
    <s v="Recovered"/>
    <n v="5"/>
    <m/>
    <m/>
    <m/>
    <m/>
    <m/>
    <m/>
    <m/>
    <m/>
    <m/>
    <n v="6"/>
    <m/>
    <m/>
    <m/>
    <x v="11"/>
  </r>
  <r>
    <s v="P0241"/>
    <n v="33"/>
    <s v="Female"/>
    <s v="Diabetes"/>
    <s v="Pulmonology"/>
    <s v="Dr. Priya"/>
    <d v="2024-08-21T00:00:00"/>
    <d v="2024-08-27T00:00:00"/>
    <n v="134664"/>
    <s v="None"/>
    <s v="Cash"/>
    <x v="2"/>
    <s v="Follow-up"/>
    <n v="3"/>
    <m/>
    <m/>
    <m/>
    <m/>
    <m/>
    <m/>
    <m/>
    <m/>
    <m/>
    <n v="8"/>
    <m/>
    <m/>
    <m/>
    <x v="10"/>
  </r>
  <r>
    <s v="P0242"/>
    <n v="42"/>
    <s v="Female"/>
    <s v="Cardiac"/>
    <s v="General Medicine"/>
    <s v="Dr. Meena"/>
    <d v="2024-05-17T00:00:00"/>
    <d v="2024-05-27T00:00:00"/>
    <n v="73041"/>
    <s v="Private"/>
    <s v="Insurance Claim"/>
    <x v="4"/>
    <s v="Follow-up"/>
    <n v="3"/>
    <m/>
    <m/>
    <m/>
    <m/>
    <m/>
    <m/>
    <m/>
    <m/>
    <m/>
    <n v="5"/>
    <m/>
    <m/>
    <m/>
    <x v="5"/>
  </r>
  <r>
    <s v="P0243"/>
    <n v="18"/>
    <s v="Male"/>
    <s v="Neurological"/>
    <s v="Neurology"/>
    <s v="Dr. Priya"/>
    <d v="2025-12-12T00:00:00"/>
    <d v="2025-12-29T00:00:00"/>
    <n v="224766"/>
    <s v="Government"/>
    <s v="UPI"/>
    <x v="3"/>
    <s v="Follow-up"/>
    <n v="3"/>
    <m/>
    <m/>
    <m/>
    <m/>
    <m/>
    <m/>
    <m/>
    <m/>
    <m/>
    <n v="12"/>
    <m/>
    <m/>
    <m/>
    <x v="2"/>
  </r>
  <r>
    <s v="P0244"/>
    <n v="47"/>
    <s v="Female"/>
    <s v="Cancer"/>
    <s v="Orthopedics"/>
    <s v="Dr. Arun"/>
    <d v="2024-10-10T00:00:00"/>
    <d v="2024-10-12T00:00:00"/>
    <n v="60832"/>
    <s v="Government"/>
    <s v="Cash"/>
    <x v="4"/>
    <s v="Under Treatment"/>
    <n v="2"/>
    <m/>
    <m/>
    <m/>
    <m/>
    <m/>
    <m/>
    <m/>
    <m/>
    <m/>
    <n v="10"/>
    <m/>
    <m/>
    <m/>
    <x v="8"/>
  </r>
  <r>
    <s v="P0245"/>
    <n v="27"/>
    <s v="Male"/>
    <s v="Neurological"/>
    <s v="General Medicine"/>
    <s v="Dr. Arun"/>
    <d v="2025-03-08T00:00:00"/>
    <d v="2025-03-14T00:00:00"/>
    <n v="205220"/>
    <s v="None"/>
    <s v="UPI"/>
    <x v="4"/>
    <s v="Under Treatment"/>
    <n v="2"/>
    <m/>
    <m/>
    <m/>
    <m/>
    <m/>
    <m/>
    <m/>
    <m/>
    <m/>
    <n v="3"/>
    <m/>
    <m/>
    <m/>
    <x v="9"/>
  </r>
  <r>
    <s v="P0246"/>
    <n v="21"/>
    <s v="Male"/>
    <s v="Orthopedic"/>
    <s v="Neurology"/>
    <s v="Dr. Meena"/>
    <d v="2025-09-11T00:00:00"/>
    <d v="2025-09-12T00:00:00"/>
    <n v="24441"/>
    <s v="None"/>
    <s v="UPI"/>
    <x v="0"/>
    <s v="Under Treatment"/>
    <n v="3"/>
    <m/>
    <m/>
    <m/>
    <m/>
    <m/>
    <m/>
    <m/>
    <m/>
    <m/>
    <n v="9"/>
    <m/>
    <m/>
    <m/>
    <x v="1"/>
  </r>
  <r>
    <s v="P0247"/>
    <n v="81"/>
    <s v="Female"/>
    <s v="Neurological"/>
    <s v="Oncology"/>
    <s v="Dr. Priya"/>
    <d v="2024-06-30T00:00:00"/>
    <d v="2024-07-17T00:00:00"/>
    <n v="58034"/>
    <s v="Corporate"/>
    <s v="Insurance Claim"/>
    <x v="3"/>
    <s v="Follow-up"/>
    <n v="5"/>
    <m/>
    <m/>
    <m/>
    <m/>
    <m/>
    <m/>
    <m/>
    <m/>
    <m/>
    <n v="6"/>
    <m/>
    <m/>
    <m/>
    <x v="11"/>
  </r>
  <r>
    <s v="P0248"/>
    <n v="82"/>
    <s v="Male"/>
    <s v="Cancer"/>
    <s v="Cardiology"/>
    <s v="Dr. Priya"/>
    <d v="2025-02-10T00:00:00"/>
    <d v="2025-02-28T00:00:00"/>
    <n v="172869"/>
    <s v="None"/>
    <s v="UPI"/>
    <x v="2"/>
    <s v="Under Treatment"/>
    <n v="3"/>
    <m/>
    <m/>
    <m/>
    <m/>
    <m/>
    <m/>
    <m/>
    <m/>
    <m/>
    <n v="2"/>
    <m/>
    <m/>
    <m/>
    <x v="3"/>
  </r>
  <r>
    <s v="P0249"/>
    <n v="83"/>
    <s v="Female"/>
    <s v="Neurological"/>
    <s v="Neurology"/>
    <s v="Dr. Priya"/>
    <d v="2024-04-02T00:00:00"/>
    <d v="2024-04-15T00:00:00"/>
    <n v="84821"/>
    <s v="None"/>
    <s v="Cash"/>
    <x v="4"/>
    <s v="Follow-up"/>
    <n v="1"/>
    <m/>
    <m/>
    <m/>
    <m/>
    <m/>
    <m/>
    <m/>
    <m/>
    <m/>
    <n v="4"/>
    <m/>
    <m/>
    <m/>
    <x v="0"/>
  </r>
  <r>
    <s v="P0250"/>
    <n v="18"/>
    <s v="Male"/>
    <s v="Infection"/>
    <s v="Neurology"/>
    <s v="Dr. Kumar"/>
    <d v="2024-08-31T00:00:00"/>
    <d v="2024-09-08T00:00:00"/>
    <n v="152927"/>
    <s v="Corporate"/>
    <s v="Cash"/>
    <x v="1"/>
    <s v="Follow-up"/>
    <n v="2"/>
    <m/>
    <m/>
    <m/>
    <m/>
    <m/>
    <m/>
    <m/>
    <m/>
    <m/>
    <n v="8"/>
    <m/>
    <m/>
    <m/>
    <x v="10"/>
  </r>
  <r>
    <s v="P0251"/>
    <n v="63"/>
    <s v="Female"/>
    <s v="Orthopedic"/>
    <s v="Neurology"/>
    <s v="Dr. Kumar"/>
    <d v="2025-03-23T00:00:00"/>
    <d v="2025-04-01T00:00:00"/>
    <n v="66462"/>
    <s v="Government"/>
    <s v="Insurance Claim"/>
    <x v="0"/>
    <s v="Follow-up"/>
    <n v="4"/>
    <m/>
    <m/>
    <m/>
    <m/>
    <m/>
    <m/>
    <m/>
    <m/>
    <m/>
    <n v="3"/>
    <m/>
    <m/>
    <m/>
    <x v="9"/>
  </r>
  <r>
    <s v="P0252"/>
    <n v="85"/>
    <s v="Female"/>
    <s v="Infection"/>
    <s v="Oncology"/>
    <s v="Dr. Arun"/>
    <d v="2024-04-29T00:00:00"/>
    <d v="2024-05-04T00:00:00"/>
    <n v="175162"/>
    <s v="Private"/>
    <s v="Card"/>
    <x v="2"/>
    <s v="Under Treatment"/>
    <n v="3"/>
    <m/>
    <m/>
    <m/>
    <m/>
    <m/>
    <m/>
    <m/>
    <m/>
    <m/>
    <n v="4"/>
    <m/>
    <m/>
    <m/>
    <x v="0"/>
  </r>
  <r>
    <s v="P0253"/>
    <n v="68"/>
    <s v="Female"/>
    <s v="Respiratory"/>
    <s v="Pulmonology"/>
    <s v="Dr. Raj"/>
    <d v="2025-02-24T00:00:00"/>
    <d v="2025-03-05T00:00:00"/>
    <n v="77256"/>
    <s v="None"/>
    <s v="UPI"/>
    <x v="4"/>
    <s v="Follow-up"/>
    <n v="3"/>
    <m/>
    <m/>
    <m/>
    <m/>
    <m/>
    <m/>
    <m/>
    <m/>
    <m/>
    <n v="2"/>
    <m/>
    <m/>
    <m/>
    <x v="3"/>
  </r>
  <r>
    <s v="P0254"/>
    <n v="27"/>
    <s v="Male"/>
    <s v="Diabetes"/>
    <s v="Pulmonology"/>
    <s v="Dr. Raj"/>
    <d v="2025-05-27T00:00:00"/>
    <d v="2025-06-13T00:00:00"/>
    <n v="137598"/>
    <s v="Government"/>
    <s v="Cash"/>
    <x v="2"/>
    <s v="Under Treatment"/>
    <n v="4"/>
    <m/>
    <m/>
    <m/>
    <m/>
    <m/>
    <m/>
    <m/>
    <m/>
    <m/>
    <n v="5"/>
    <m/>
    <m/>
    <m/>
    <x v="5"/>
  </r>
  <r>
    <s v="P0255"/>
    <n v="61"/>
    <s v="Female"/>
    <s v="Cardiac"/>
    <s v="General Medicine"/>
    <s v="Dr. Priya"/>
    <d v="2024-03-06T00:00:00"/>
    <d v="2024-03-18T00:00:00"/>
    <n v="193739"/>
    <s v="Government"/>
    <s v="Insurance Claim"/>
    <x v="4"/>
    <s v="Follow-up"/>
    <n v="5"/>
    <m/>
    <m/>
    <m/>
    <m/>
    <m/>
    <m/>
    <m/>
    <m/>
    <m/>
    <n v="3"/>
    <m/>
    <m/>
    <m/>
    <x v="9"/>
  </r>
  <r>
    <s v="P0256"/>
    <n v="53"/>
    <s v="Female"/>
    <s v="Cardiac"/>
    <s v="Neurology"/>
    <s v="Dr. Priya"/>
    <d v="2025-12-08T00:00:00"/>
    <d v="2025-12-16T00:00:00"/>
    <n v="219956"/>
    <s v="Private"/>
    <s v="UPI"/>
    <x v="2"/>
    <s v="Under Treatment"/>
    <n v="1"/>
    <m/>
    <m/>
    <m/>
    <m/>
    <m/>
    <m/>
    <m/>
    <m/>
    <m/>
    <n v="12"/>
    <m/>
    <m/>
    <m/>
    <x v="2"/>
  </r>
  <r>
    <s v="P0257"/>
    <n v="55"/>
    <s v="Female"/>
    <s v="Orthopedic"/>
    <s v="Oncology"/>
    <s v="Dr. Meena"/>
    <d v="2024-12-31T00:00:00"/>
    <d v="2025-01-18T00:00:00"/>
    <n v="10606"/>
    <s v="Government"/>
    <s v="Card"/>
    <x v="3"/>
    <s v="Under Treatment"/>
    <n v="2"/>
    <m/>
    <m/>
    <m/>
    <m/>
    <m/>
    <m/>
    <m/>
    <m/>
    <m/>
    <n v="12"/>
    <m/>
    <m/>
    <m/>
    <x v="2"/>
  </r>
  <r>
    <s v="P0258"/>
    <n v="26"/>
    <s v="Male"/>
    <s v="Infection"/>
    <s v="Oncology"/>
    <s v="Dr. Meena"/>
    <d v="2025-09-24T00:00:00"/>
    <d v="2025-10-06T00:00:00"/>
    <n v="167293"/>
    <s v="Private"/>
    <s v="Insurance Claim"/>
    <x v="1"/>
    <s v="Under Treatment"/>
    <n v="3"/>
    <m/>
    <m/>
    <m/>
    <m/>
    <m/>
    <m/>
    <m/>
    <m/>
    <m/>
    <n v="9"/>
    <m/>
    <m/>
    <m/>
    <x v="1"/>
  </r>
  <r>
    <s v="P0259"/>
    <n v="26"/>
    <s v="Female"/>
    <s v="Cancer"/>
    <s v="General Medicine"/>
    <s v="Dr. Kumar"/>
    <d v="2025-05-03T00:00:00"/>
    <d v="2025-05-11T00:00:00"/>
    <n v="178178"/>
    <s v="Corporate"/>
    <s v="UPI"/>
    <x v="2"/>
    <s v="Follow-up"/>
    <n v="5"/>
    <m/>
    <m/>
    <m/>
    <m/>
    <m/>
    <m/>
    <m/>
    <m/>
    <m/>
    <n v="5"/>
    <m/>
    <m/>
    <m/>
    <x v="5"/>
  </r>
  <r>
    <s v="P0260"/>
    <n v="39"/>
    <s v="Female"/>
    <s v="Neurological"/>
    <s v="Cardiology"/>
    <s v="Dr. Meena"/>
    <d v="2025-06-28T00:00:00"/>
    <d v="2025-07-12T00:00:00"/>
    <n v="133380"/>
    <s v="None"/>
    <s v="Cash"/>
    <x v="4"/>
    <s v="Under Treatment"/>
    <n v="4"/>
    <m/>
    <m/>
    <m/>
    <m/>
    <m/>
    <m/>
    <m/>
    <m/>
    <m/>
    <n v="6"/>
    <m/>
    <m/>
    <m/>
    <x v="11"/>
  </r>
  <r>
    <s v="P0261"/>
    <n v="30"/>
    <s v="Male"/>
    <s v="Cancer"/>
    <s v="Oncology"/>
    <s v="Dr. Priya"/>
    <d v="2025-05-26T00:00:00"/>
    <d v="2025-05-29T00:00:00"/>
    <n v="104238"/>
    <s v="Government"/>
    <s v="Card"/>
    <x v="4"/>
    <s v="Recovered"/>
    <n v="2"/>
    <m/>
    <m/>
    <m/>
    <m/>
    <m/>
    <m/>
    <m/>
    <m/>
    <m/>
    <n v="5"/>
    <m/>
    <m/>
    <m/>
    <x v="5"/>
  </r>
  <r>
    <s v="P0262"/>
    <n v="72"/>
    <s v="Female"/>
    <s v="Infection"/>
    <s v="Oncology"/>
    <s v="Dr. Kumar"/>
    <d v="2024-09-14T00:00:00"/>
    <d v="2024-10-01T00:00:00"/>
    <n v="210545"/>
    <s v="Government"/>
    <s v="Card"/>
    <x v="1"/>
    <s v="Recovered"/>
    <n v="3"/>
    <m/>
    <m/>
    <m/>
    <m/>
    <m/>
    <m/>
    <m/>
    <m/>
    <m/>
    <n v="9"/>
    <m/>
    <m/>
    <m/>
    <x v="1"/>
  </r>
  <r>
    <s v="P0263"/>
    <n v="25"/>
    <s v="Female"/>
    <s v="Respiratory"/>
    <s v="General Medicine"/>
    <s v="Dr. Raj"/>
    <d v="2025-02-06T00:00:00"/>
    <d v="2025-02-25T00:00:00"/>
    <n v="129423"/>
    <s v="None"/>
    <s v="UPI"/>
    <x v="1"/>
    <s v="Under Treatment"/>
    <n v="2"/>
    <m/>
    <m/>
    <m/>
    <m/>
    <m/>
    <m/>
    <m/>
    <m/>
    <m/>
    <n v="2"/>
    <m/>
    <m/>
    <m/>
    <x v="3"/>
  </r>
  <r>
    <s v="P0264"/>
    <n v="41"/>
    <s v="Male"/>
    <s v="Neurological"/>
    <s v="Neurology"/>
    <s v="Dr. Meena"/>
    <d v="2024-05-06T00:00:00"/>
    <d v="2024-05-17T00:00:00"/>
    <n v="157261"/>
    <s v="Private"/>
    <s v="Card"/>
    <x v="1"/>
    <s v="Follow-up"/>
    <n v="1"/>
    <m/>
    <m/>
    <m/>
    <m/>
    <m/>
    <m/>
    <m/>
    <m/>
    <m/>
    <n v="5"/>
    <m/>
    <m/>
    <m/>
    <x v="5"/>
  </r>
  <r>
    <s v="P0265"/>
    <n v="85"/>
    <s v="Female"/>
    <s v="Infection"/>
    <s v="General Medicine"/>
    <s v="Dr. Priya"/>
    <d v="2024-06-24T00:00:00"/>
    <d v="2024-06-28T00:00:00"/>
    <n v="189635"/>
    <s v="Corporate"/>
    <s v="Insurance Claim"/>
    <x v="1"/>
    <s v="Follow-up"/>
    <n v="5"/>
    <m/>
    <m/>
    <m/>
    <m/>
    <m/>
    <m/>
    <m/>
    <m/>
    <m/>
    <n v="6"/>
    <m/>
    <m/>
    <m/>
    <x v="11"/>
  </r>
  <r>
    <s v="P0266"/>
    <n v="77"/>
    <s v="Female"/>
    <s v="Orthopedic"/>
    <s v="Neurology"/>
    <s v="Dr. Arun"/>
    <d v="2024-06-14T00:00:00"/>
    <d v="2024-06-30T00:00:00"/>
    <n v="188642"/>
    <s v="Private"/>
    <s v="Card"/>
    <x v="1"/>
    <s v="Under Treatment"/>
    <n v="4"/>
    <m/>
    <m/>
    <m/>
    <m/>
    <m/>
    <m/>
    <m/>
    <m/>
    <m/>
    <n v="6"/>
    <m/>
    <m/>
    <m/>
    <x v="11"/>
  </r>
  <r>
    <s v="P0267"/>
    <n v="19"/>
    <s v="Female"/>
    <s v="Neurological"/>
    <s v="Oncology"/>
    <s v="Dr. Arun"/>
    <d v="2024-07-01T00:00:00"/>
    <d v="2024-07-19T00:00:00"/>
    <n v="171040"/>
    <s v="Corporate"/>
    <s v="Card"/>
    <x v="1"/>
    <s v="Recovered"/>
    <n v="2"/>
    <m/>
    <m/>
    <m/>
    <m/>
    <m/>
    <m/>
    <m/>
    <m/>
    <m/>
    <n v="7"/>
    <m/>
    <m/>
    <m/>
    <x v="7"/>
  </r>
  <r>
    <s v="P0268"/>
    <n v="23"/>
    <s v="Male"/>
    <s v="Respiratory"/>
    <s v="Pulmonology"/>
    <s v="Dr. Meena"/>
    <d v="2024-05-14T00:00:00"/>
    <d v="2024-05-31T00:00:00"/>
    <n v="34746"/>
    <s v="Private"/>
    <s v="Card"/>
    <x v="2"/>
    <s v="Under Treatment"/>
    <n v="5"/>
    <m/>
    <m/>
    <m/>
    <m/>
    <m/>
    <m/>
    <m/>
    <m/>
    <m/>
    <n v="5"/>
    <m/>
    <m/>
    <m/>
    <x v="5"/>
  </r>
  <r>
    <s v="P0269"/>
    <n v="27"/>
    <s v="Female"/>
    <s v="Respiratory"/>
    <s v="Oncology"/>
    <s v="Dr. Raj"/>
    <d v="2025-07-21T00:00:00"/>
    <d v="2025-08-07T00:00:00"/>
    <n v="236167"/>
    <s v="None"/>
    <s v="UPI"/>
    <x v="1"/>
    <s v="Recovered"/>
    <n v="3"/>
    <m/>
    <m/>
    <m/>
    <m/>
    <m/>
    <m/>
    <m/>
    <m/>
    <m/>
    <n v="7"/>
    <m/>
    <m/>
    <m/>
    <x v="7"/>
  </r>
  <r>
    <s v="P0270"/>
    <n v="84"/>
    <s v="Male"/>
    <s v="Orthopedic"/>
    <s v="Pulmonology"/>
    <s v="Dr. Kumar"/>
    <d v="2025-11-23T00:00:00"/>
    <d v="2025-12-03T00:00:00"/>
    <n v="176933"/>
    <s v="Corporate"/>
    <s v="Card"/>
    <x v="2"/>
    <s v="Follow-up"/>
    <n v="4"/>
    <m/>
    <m/>
    <m/>
    <m/>
    <m/>
    <m/>
    <m/>
    <m/>
    <m/>
    <n v="11"/>
    <m/>
    <m/>
    <m/>
    <x v="6"/>
  </r>
  <r>
    <s v="P0271"/>
    <n v="38"/>
    <s v="Female"/>
    <s v="Infection"/>
    <s v="Neurology"/>
    <s v="Dr. Priya"/>
    <d v="2024-11-07T00:00:00"/>
    <d v="2024-11-23T00:00:00"/>
    <n v="212160"/>
    <s v="Government"/>
    <s v="Insurance Claim"/>
    <x v="4"/>
    <s v="Recovered"/>
    <n v="2"/>
    <m/>
    <m/>
    <m/>
    <m/>
    <m/>
    <m/>
    <m/>
    <m/>
    <m/>
    <n v="11"/>
    <m/>
    <m/>
    <m/>
    <x v="6"/>
  </r>
  <r>
    <s v="P0272"/>
    <n v="44"/>
    <s v="Female"/>
    <s v="Neurological"/>
    <s v="Oncology"/>
    <s v="Dr. Raj"/>
    <d v="2024-03-24T00:00:00"/>
    <d v="2024-04-06T00:00:00"/>
    <n v="210646"/>
    <s v="None"/>
    <s v="Insurance Claim"/>
    <x v="0"/>
    <s v="Follow-up"/>
    <n v="2"/>
    <m/>
    <m/>
    <m/>
    <m/>
    <m/>
    <m/>
    <m/>
    <m/>
    <m/>
    <n v="3"/>
    <m/>
    <m/>
    <m/>
    <x v="9"/>
  </r>
  <r>
    <s v="P0273"/>
    <n v="57"/>
    <s v="Female"/>
    <s v="Orthopedic"/>
    <s v="General Medicine"/>
    <s v="Dr. Raj"/>
    <d v="2025-07-20T00:00:00"/>
    <d v="2025-07-31T00:00:00"/>
    <n v="109600"/>
    <s v="Private"/>
    <s v="Card"/>
    <x v="4"/>
    <s v="Under Treatment"/>
    <n v="4"/>
    <m/>
    <m/>
    <m/>
    <m/>
    <m/>
    <m/>
    <m/>
    <m/>
    <m/>
    <n v="7"/>
    <m/>
    <m/>
    <m/>
    <x v="7"/>
  </r>
  <r>
    <s v="P0274"/>
    <n v="54"/>
    <s v="Male"/>
    <s v="Infection"/>
    <s v="Cardiology"/>
    <s v="Dr. Raj"/>
    <d v="2025-01-04T00:00:00"/>
    <d v="2025-01-09T00:00:00"/>
    <n v="157521"/>
    <s v="Private"/>
    <s v="UPI"/>
    <x v="0"/>
    <s v="Under Treatment"/>
    <n v="1"/>
    <m/>
    <m/>
    <m/>
    <m/>
    <m/>
    <m/>
    <m/>
    <m/>
    <m/>
    <n v="1"/>
    <m/>
    <m/>
    <m/>
    <x v="4"/>
  </r>
  <r>
    <s v="P0275"/>
    <n v="20"/>
    <s v="Male"/>
    <s v="Infection"/>
    <s v="Orthopedics"/>
    <s v="Dr. Arun"/>
    <d v="2025-09-18T00:00:00"/>
    <d v="2025-10-06T00:00:00"/>
    <n v="106302"/>
    <s v="None"/>
    <s v="UPI"/>
    <x v="2"/>
    <s v="Under Treatment"/>
    <n v="2"/>
    <m/>
    <m/>
    <m/>
    <m/>
    <m/>
    <m/>
    <m/>
    <m/>
    <m/>
    <n v="9"/>
    <m/>
    <m/>
    <m/>
    <x v="1"/>
  </r>
  <r>
    <s v="P0276"/>
    <n v="55"/>
    <s v="Male"/>
    <s v="Orthopedic"/>
    <s v="Cardiology"/>
    <s v="Dr. Kumar"/>
    <d v="2025-10-31T00:00:00"/>
    <d v="2025-11-03T00:00:00"/>
    <n v="54873"/>
    <s v="None"/>
    <s v="UPI"/>
    <x v="3"/>
    <s v="Follow-up"/>
    <n v="5"/>
    <m/>
    <m/>
    <m/>
    <m/>
    <m/>
    <m/>
    <m/>
    <m/>
    <m/>
    <n v="10"/>
    <m/>
    <m/>
    <m/>
    <x v="8"/>
  </r>
  <r>
    <s v="P0277"/>
    <n v="73"/>
    <s v="Female"/>
    <s v="Neurological"/>
    <s v="Oncology"/>
    <s v="Dr. Arun"/>
    <d v="2025-07-09T00:00:00"/>
    <d v="2025-07-26T00:00:00"/>
    <n v="39462"/>
    <s v="None"/>
    <s v="Cash"/>
    <x v="1"/>
    <s v="Recovered"/>
    <n v="4"/>
    <m/>
    <m/>
    <m/>
    <m/>
    <m/>
    <m/>
    <m/>
    <m/>
    <m/>
    <n v="7"/>
    <m/>
    <m/>
    <m/>
    <x v="7"/>
  </r>
  <r>
    <s v="P0278"/>
    <n v="30"/>
    <s v="Female"/>
    <s v="Cancer"/>
    <s v="General Medicine"/>
    <s v="Dr. Kumar"/>
    <d v="2025-12-24T00:00:00"/>
    <d v="2025-12-29T00:00:00"/>
    <n v="215999"/>
    <s v="Private"/>
    <s v="Card"/>
    <x v="2"/>
    <s v="Follow-up"/>
    <n v="1"/>
    <m/>
    <m/>
    <m/>
    <m/>
    <m/>
    <m/>
    <m/>
    <m/>
    <m/>
    <n v="12"/>
    <m/>
    <m/>
    <m/>
    <x v="2"/>
  </r>
  <r>
    <s v="P0279"/>
    <n v="79"/>
    <s v="Male"/>
    <s v="Neurological"/>
    <s v="Cardiology"/>
    <s v="Dr. Kumar"/>
    <d v="2024-03-06T00:00:00"/>
    <d v="2024-03-07T00:00:00"/>
    <n v="19381"/>
    <s v="Government"/>
    <s v="UPI"/>
    <x v="0"/>
    <s v="Under Treatment"/>
    <n v="2"/>
    <m/>
    <m/>
    <m/>
    <m/>
    <m/>
    <m/>
    <m/>
    <m/>
    <m/>
    <n v="3"/>
    <m/>
    <m/>
    <m/>
    <x v="9"/>
  </r>
  <r>
    <s v="P0280"/>
    <n v="69"/>
    <s v="Male"/>
    <s v="Cardiac"/>
    <s v="General Medicine"/>
    <s v="Dr. Raj"/>
    <d v="2025-02-05T00:00:00"/>
    <d v="2025-02-25T00:00:00"/>
    <n v="223124"/>
    <s v="Private"/>
    <s v="Insurance Claim"/>
    <x v="0"/>
    <s v="Follow-up"/>
    <n v="1"/>
    <m/>
    <m/>
    <m/>
    <m/>
    <m/>
    <m/>
    <m/>
    <m/>
    <m/>
    <n v="2"/>
    <m/>
    <m/>
    <m/>
    <x v="3"/>
  </r>
  <r>
    <s v="P0281"/>
    <n v="56"/>
    <s v="Male"/>
    <s v="Infection"/>
    <s v="Cardiology"/>
    <s v="Dr. Kumar"/>
    <d v="2024-01-04T00:00:00"/>
    <d v="2024-01-14T00:00:00"/>
    <n v="207247"/>
    <s v="Corporate"/>
    <s v="Insurance Claim"/>
    <x v="1"/>
    <s v="Recovered"/>
    <n v="2"/>
    <m/>
    <m/>
    <m/>
    <m/>
    <m/>
    <m/>
    <m/>
    <m/>
    <m/>
    <n v="1"/>
    <m/>
    <m/>
    <m/>
    <x v="4"/>
  </r>
  <r>
    <s v="P0282"/>
    <n v="47"/>
    <s v="Female"/>
    <s v="Cancer"/>
    <s v="General Medicine"/>
    <s v="Dr. Kumar"/>
    <d v="2025-07-28T00:00:00"/>
    <d v="2025-08-11T00:00:00"/>
    <n v="227844"/>
    <s v="Corporate"/>
    <s v="UPI"/>
    <x v="2"/>
    <s v="Under Treatment"/>
    <n v="2"/>
    <m/>
    <m/>
    <m/>
    <m/>
    <m/>
    <m/>
    <m/>
    <m/>
    <m/>
    <n v="7"/>
    <m/>
    <m/>
    <m/>
    <x v="7"/>
  </r>
  <r>
    <s v="P0283"/>
    <n v="36"/>
    <s v="Female"/>
    <s v="Infection"/>
    <s v="Pulmonology"/>
    <s v="Dr. Kumar"/>
    <d v="2025-06-07T00:00:00"/>
    <d v="2025-06-14T00:00:00"/>
    <n v="105437"/>
    <s v="Corporate"/>
    <s v="Card"/>
    <x v="1"/>
    <s v="Under Treatment"/>
    <n v="5"/>
    <m/>
    <m/>
    <m/>
    <m/>
    <m/>
    <m/>
    <m/>
    <m/>
    <m/>
    <n v="6"/>
    <m/>
    <m/>
    <m/>
    <x v="11"/>
  </r>
  <r>
    <s v="P0284"/>
    <n v="21"/>
    <s v="Male"/>
    <s v="Infection"/>
    <s v="General Medicine"/>
    <s v="Dr. Meena"/>
    <d v="2024-03-10T00:00:00"/>
    <d v="2024-03-16T00:00:00"/>
    <n v="148776"/>
    <s v="Government"/>
    <s v="Cash"/>
    <x v="0"/>
    <s v="Under Treatment"/>
    <n v="1"/>
    <m/>
    <m/>
    <m/>
    <m/>
    <m/>
    <m/>
    <m/>
    <m/>
    <m/>
    <n v="3"/>
    <m/>
    <m/>
    <m/>
    <x v="9"/>
  </r>
  <r>
    <s v="P0285"/>
    <n v="37"/>
    <s v="Male"/>
    <s v="Neurological"/>
    <s v="Orthopedics"/>
    <s v="Dr. Meena"/>
    <d v="2025-02-27T00:00:00"/>
    <d v="2025-03-15T00:00:00"/>
    <n v="156107"/>
    <s v="Private"/>
    <s v="Cash"/>
    <x v="1"/>
    <s v="Recovered"/>
    <n v="2"/>
    <m/>
    <m/>
    <m/>
    <m/>
    <m/>
    <m/>
    <m/>
    <m/>
    <m/>
    <n v="2"/>
    <m/>
    <m/>
    <m/>
    <x v="3"/>
  </r>
  <r>
    <s v="P0286"/>
    <n v="49"/>
    <s v="Female"/>
    <s v="Neurological"/>
    <s v="Cardiology"/>
    <s v="Dr. Kumar"/>
    <d v="2025-01-02T00:00:00"/>
    <d v="2025-01-15T00:00:00"/>
    <n v="26508"/>
    <s v="Corporate"/>
    <s v="Insurance Claim"/>
    <x v="0"/>
    <s v="Recovered"/>
    <n v="1"/>
    <m/>
    <m/>
    <m/>
    <m/>
    <m/>
    <m/>
    <m/>
    <m/>
    <m/>
    <n v="1"/>
    <m/>
    <m/>
    <m/>
    <x v="4"/>
  </r>
  <r>
    <s v="P0287"/>
    <n v="67"/>
    <s v="Female"/>
    <s v="Cancer"/>
    <s v="Neurology"/>
    <s v="Dr. Kumar"/>
    <d v="2025-11-19T00:00:00"/>
    <d v="2025-11-20T00:00:00"/>
    <n v="55321"/>
    <s v="None"/>
    <s v="Cash"/>
    <x v="4"/>
    <s v="Follow-up"/>
    <n v="5"/>
    <m/>
    <m/>
    <m/>
    <m/>
    <m/>
    <m/>
    <m/>
    <m/>
    <m/>
    <n v="11"/>
    <m/>
    <m/>
    <m/>
    <x v="6"/>
  </r>
  <r>
    <s v="P0288"/>
    <n v="36"/>
    <s v="Male"/>
    <s v="Infection"/>
    <s v="Cardiology"/>
    <s v="Dr. Priya"/>
    <d v="2024-08-07T00:00:00"/>
    <d v="2024-08-14T00:00:00"/>
    <n v="148543"/>
    <s v="None"/>
    <s v="Card"/>
    <x v="4"/>
    <s v="Under Treatment"/>
    <n v="3"/>
    <m/>
    <m/>
    <m/>
    <m/>
    <m/>
    <m/>
    <m/>
    <m/>
    <m/>
    <n v="8"/>
    <m/>
    <m/>
    <m/>
    <x v="10"/>
  </r>
  <r>
    <s v="P0289"/>
    <n v="54"/>
    <s v="Female"/>
    <s v="Respiratory"/>
    <s v="Oncology"/>
    <s v="Dr. Kumar"/>
    <d v="2024-01-12T00:00:00"/>
    <d v="2024-01-28T00:00:00"/>
    <n v="223362"/>
    <s v="None"/>
    <s v="Card"/>
    <x v="2"/>
    <s v="Follow-up"/>
    <n v="4"/>
    <m/>
    <m/>
    <m/>
    <m/>
    <m/>
    <m/>
    <m/>
    <m/>
    <m/>
    <n v="1"/>
    <m/>
    <m/>
    <m/>
    <x v="4"/>
  </r>
  <r>
    <s v="P0290"/>
    <n v="48"/>
    <s v="Male"/>
    <s v="Neurological"/>
    <s v="Pulmonology"/>
    <s v="Dr. Raj"/>
    <d v="2024-10-29T00:00:00"/>
    <d v="2024-11-17T00:00:00"/>
    <n v="109786"/>
    <s v="Private"/>
    <s v="Insurance Claim"/>
    <x v="4"/>
    <s v="Recovered"/>
    <n v="2"/>
    <m/>
    <m/>
    <m/>
    <m/>
    <m/>
    <m/>
    <m/>
    <m/>
    <m/>
    <n v="10"/>
    <m/>
    <m/>
    <m/>
    <x v="8"/>
  </r>
  <r>
    <s v="P0291"/>
    <n v="85"/>
    <s v="Male"/>
    <s v="Neurological"/>
    <s v="Neurology"/>
    <s v="Dr. Priya"/>
    <d v="2025-08-23T00:00:00"/>
    <d v="2025-09-08T00:00:00"/>
    <n v="40711"/>
    <s v="Private"/>
    <s v="Insurance Claim"/>
    <x v="2"/>
    <s v="Follow-up"/>
    <n v="5"/>
    <m/>
    <m/>
    <m/>
    <m/>
    <m/>
    <m/>
    <m/>
    <m/>
    <m/>
    <n v="8"/>
    <m/>
    <m/>
    <m/>
    <x v="10"/>
  </r>
  <r>
    <s v="P0292"/>
    <n v="34"/>
    <s v="Female"/>
    <s v="Infection"/>
    <s v="Cardiology"/>
    <s v="Dr. Raj"/>
    <d v="2024-05-06T00:00:00"/>
    <d v="2024-05-21T00:00:00"/>
    <n v="12340"/>
    <s v="None"/>
    <s v="Insurance Claim"/>
    <x v="1"/>
    <s v="Recovered"/>
    <n v="2"/>
    <m/>
    <m/>
    <m/>
    <m/>
    <m/>
    <m/>
    <m/>
    <m/>
    <m/>
    <n v="5"/>
    <m/>
    <m/>
    <m/>
    <x v="5"/>
  </r>
  <r>
    <s v="P0293"/>
    <n v="33"/>
    <s v="Male"/>
    <s v="Infection"/>
    <s v="Neurology"/>
    <s v="Dr. Raj"/>
    <d v="2024-06-12T00:00:00"/>
    <d v="2024-06-23T00:00:00"/>
    <n v="46474"/>
    <s v="Private"/>
    <s v="Insurance Claim"/>
    <x v="3"/>
    <s v="Follow-up"/>
    <n v="2"/>
    <m/>
    <m/>
    <m/>
    <m/>
    <m/>
    <m/>
    <m/>
    <m/>
    <m/>
    <n v="6"/>
    <m/>
    <m/>
    <m/>
    <x v="11"/>
  </r>
  <r>
    <s v="P0294"/>
    <n v="23"/>
    <s v="Male"/>
    <s v="Infection"/>
    <s v="Oncology"/>
    <s v="Dr. Kumar"/>
    <d v="2024-07-25T00:00:00"/>
    <d v="2024-08-02T00:00:00"/>
    <n v="226113"/>
    <s v="None"/>
    <s v="Card"/>
    <x v="2"/>
    <s v="Under Treatment"/>
    <n v="5"/>
    <m/>
    <m/>
    <m/>
    <m/>
    <m/>
    <m/>
    <m/>
    <m/>
    <m/>
    <n v="7"/>
    <m/>
    <m/>
    <m/>
    <x v="7"/>
  </r>
  <r>
    <s v="P0295"/>
    <n v="82"/>
    <s v="Female"/>
    <s v="Orthopedic"/>
    <s v="Pulmonology"/>
    <s v="Dr. Raj"/>
    <d v="2024-05-24T00:00:00"/>
    <d v="2024-05-30T00:00:00"/>
    <n v="23612"/>
    <s v="None"/>
    <s v="Card"/>
    <x v="0"/>
    <s v="Follow-up"/>
    <n v="4"/>
    <m/>
    <m/>
    <m/>
    <m/>
    <m/>
    <m/>
    <m/>
    <m/>
    <m/>
    <n v="5"/>
    <m/>
    <m/>
    <m/>
    <x v="5"/>
  </r>
  <r>
    <s v="P0296"/>
    <n v="35"/>
    <s v="Male"/>
    <s v="Diabetes"/>
    <s v="Cardiology"/>
    <s v="Dr. Raj"/>
    <d v="2024-05-22T00:00:00"/>
    <d v="2024-05-26T00:00:00"/>
    <n v="163705"/>
    <s v="Private"/>
    <s v="Card"/>
    <x v="0"/>
    <s v="Recovered"/>
    <n v="5"/>
    <m/>
    <m/>
    <m/>
    <m/>
    <m/>
    <m/>
    <m/>
    <m/>
    <m/>
    <n v="5"/>
    <m/>
    <m/>
    <m/>
    <x v="5"/>
  </r>
  <r>
    <s v="P0297"/>
    <n v="66"/>
    <s v="Male"/>
    <s v="Diabetes"/>
    <s v="Orthopedics"/>
    <s v="Dr. Meena"/>
    <d v="2025-10-04T00:00:00"/>
    <d v="2025-10-21T00:00:00"/>
    <n v="5420"/>
    <s v="Government"/>
    <s v="Insurance Claim"/>
    <x v="0"/>
    <s v="Recovered"/>
    <n v="3"/>
    <m/>
    <m/>
    <m/>
    <m/>
    <m/>
    <m/>
    <m/>
    <m/>
    <m/>
    <n v="10"/>
    <m/>
    <m/>
    <m/>
    <x v="8"/>
  </r>
  <r>
    <s v="P0298"/>
    <n v="44"/>
    <s v="Female"/>
    <s v="Cancer"/>
    <s v="Orthopedics"/>
    <s v="Dr. Arun"/>
    <d v="2025-01-09T00:00:00"/>
    <d v="2025-01-21T00:00:00"/>
    <n v="138726"/>
    <s v="Government"/>
    <s v="Cash"/>
    <x v="2"/>
    <s v="Recovered"/>
    <n v="2"/>
    <m/>
    <m/>
    <m/>
    <m/>
    <m/>
    <m/>
    <m/>
    <m/>
    <m/>
    <n v="1"/>
    <m/>
    <m/>
    <m/>
    <x v="4"/>
  </r>
  <r>
    <s v="P0299"/>
    <n v="47"/>
    <s v="Female"/>
    <s v="Neurological"/>
    <s v="General Medicine"/>
    <s v="Dr. Meena"/>
    <d v="2024-08-29T00:00:00"/>
    <d v="2024-09-17T00:00:00"/>
    <n v="247092"/>
    <s v="Private"/>
    <s v="UPI"/>
    <x v="4"/>
    <s v="Under Treatment"/>
    <n v="4"/>
    <m/>
    <m/>
    <m/>
    <m/>
    <m/>
    <m/>
    <m/>
    <m/>
    <m/>
    <n v="8"/>
    <m/>
    <m/>
    <m/>
    <x v="10"/>
  </r>
  <r>
    <s v="P0300"/>
    <n v="64"/>
    <s v="Male"/>
    <s v="Orthopedic"/>
    <s v="Oncology"/>
    <s v="Dr. Kumar"/>
    <d v="2025-08-27T00:00:00"/>
    <d v="2025-09-02T00:00:00"/>
    <n v="46617"/>
    <s v="Government"/>
    <s v="Cash"/>
    <x v="2"/>
    <s v="Under Treatment"/>
    <n v="4"/>
    <m/>
    <m/>
    <m/>
    <m/>
    <m/>
    <m/>
    <m/>
    <m/>
    <m/>
    <n v="8"/>
    <m/>
    <m/>
    <m/>
    <x v="10"/>
  </r>
  <r>
    <s v="P0301"/>
    <n v="70"/>
    <s v="Male"/>
    <s v="Diabetes"/>
    <s v="Orthopedics"/>
    <s v="Dr. Priya"/>
    <d v="2024-03-21T00:00:00"/>
    <d v="2024-04-10T00:00:00"/>
    <n v="216958"/>
    <s v="Government"/>
    <s v="Insurance Claim"/>
    <x v="2"/>
    <s v="Follow-up"/>
    <n v="2"/>
    <m/>
    <m/>
    <m/>
    <m/>
    <m/>
    <m/>
    <m/>
    <m/>
    <m/>
    <n v="3"/>
    <m/>
    <m/>
    <m/>
    <x v="9"/>
  </r>
  <r>
    <s v="P0302"/>
    <n v="58"/>
    <s v="Female"/>
    <s v="Diabetes"/>
    <s v="Cardiology"/>
    <s v="Dr. Kumar"/>
    <d v="2024-09-01T00:00:00"/>
    <d v="2024-09-05T00:00:00"/>
    <n v="35849"/>
    <s v="Corporate"/>
    <s v="Cash"/>
    <x v="2"/>
    <s v="Under Treatment"/>
    <n v="1"/>
    <m/>
    <m/>
    <m/>
    <m/>
    <m/>
    <m/>
    <m/>
    <m/>
    <m/>
    <n v="9"/>
    <m/>
    <m/>
    <m/>
    <x v="1"/>
  </r>
  <r>
    <s v="P0303"/>
    <n v="63"/>
    <s v="Male"/>
    <s v="Orthopedic"/>
    <s v="Neurology"/>
    <s v="Dr. Kumar"/>
    <d v="2024-05-23T00:00:00"/>
    <d v="2024-06-06T00:00:00"/>
    <n v="113664"/>
    <s v="Corporate"/>
    <s v="Cash"/>
    <x v="1"/>
    <s v="Under Treatment"/>
    <n v="4"/>
    <m/>
    <m/>
    <m/>
    <m/>
    <m/>
    <m/>
    <m/>
    <m/>
    <m/>
    <n v="5"/>
    <m/>
    <m/>
    <m/>
    <x v="5"/>
  </r>
  <r>
    <s v="P0304"/>
    <n v="29"/>
    <s v="Female"/>
    <s v="Cancer"/>
    <s v="General Medicine"/>
    <s v="Dr. Meena"/>
    <d v="2025-02-20T00:00:00"/>
    <d v="2025-02-23T00:00:00"/>
    <n v="95524"/>
    <s v="Government"/>
    <s v="UPI"/>
    <x v="2"/>
    <s v="Recovered"/>
    <n v="1"/>
    <m/>
    <m/>
    <m/>
    <m/>
    <m/>
    <m/>
    <m/>
    <m/>
    <m/>
    <n v="2"/>
    <m/>
    <m/>
    <m/>
    <x v="3"/>
  </r>
  <r>
    <s v="P0305"/>
    <n v="21"/>
    <s v="Male"/>
    <s v="Cardiac"/>
    <s v="Cardiology"/>
    <s v="Dr. Arun"/>
    <d v="2025-05-03T00:00:00"/>
    <d v="2025-05-15T00:00:00"/>
    <n v="75753"/>
    <s v="Government"/>
    <s v="Insurance Claim"/>
    <x v="2"/>
    <s v="Recovered"/>
    <n v="2"/>
    <m/>
    <m/>
    <m/>
    <m/>
    <m/>
    <m/>
    <m/>
    <m/>
    <m/>
    <n v="5"/>
    <m/>
    <m/>
    <m/>
    <x v="5"/>
  </r>
  <r>
    <s v="P0306"/>
    <n v="36"/>
    <s v="Male"/>
    <s v="Cancer"/>
    <s v="General Medicine"/>
    <s v="Dr. Priya"/>
    <d v="2024-04-29T00:00:00"/>
    <d v="2024-05-10T00:00:00"/>
    <n v="85483"/>
    <s v="Government"/>
    <s v="Card"/>
    <x v="3"/>
    <s v="Recovered"/>
    <n v="4"/>
    <m/>
    <m/>
    <m/>
    <m/>
    <m/>
    <m/>
    <m/>
    <m/>
    <m/>
    <n v="4"/>
    <m/>
    <m/>
    <m/>
    <x v="0"/>
  </r>
  <r>
    <s v="P0307"/>
    <n v="47"/>
    <s v="Female"/>
    <s v="Orthopedic"/>
    <s v="Pulmonology"/>
    <s v="Dr. Kumar"/>
    <d v="2024-04-10T00:00:00"/>
    <d v="2024-04-22T00:00:00"/>
    <n v="236256"/>
    <s v="Corporate"/>
    <s v="Card"/>
    <x v="0"/>
    <s v="Under Treatment"/>
    <n v="4"/>
    <m/>
    <m/>
    <m/>
    <m/>
    <m/>
    <m/>
    <m/>
    <m/>
    <m/>
    <n v="4"/>
    <m/>
    <m/>
    <m/>
    <x v="0"/>
  </r>
  <r>
    <s v="P0308"/>
    <n v="54"/>
    <s v="Male"/>
    <s v="Orthopedic"/>
    <s v="Pulmonology"/>
    <s v="Dr. Raj"/>
    <d v="2024-05-24T00:00:00"/>
    <d v="2024-06-12T00:00:00"/>
    <n v="44269"/>
    <s v="Private"/>
    <s v="Cash"/>
    <x v="0"/>
    <s v="Under Treatment"/>
    <n v="5"/>
    <m/>
    <m/>
    <m/>
    <m/>
    <m/>
    <m/>
    <m/>
    <m/>
    <m/>
    <n v="5"/>
    <m/>
    <m/>
    <m/>
    <x v="5"/>
  </r>
  <r>
    <s v="P0309"/>
    <n v="35"/>
    <s v="Male"/>
    <s v="Neurological"/>
    <s v="General Medicine"/>
    <s v="Dr. Priya"/>
    <d v="2024-10-06T00:00:00"/>
    <d v="2024-10-20T00:00:00"/>
    <n v="72383"/>
    <s v="Private"/>
    <s v="UPI"/>
    <x v="2"/>
    <s v="Follow-up"/>
    <n v="2"/>
    <m/>
    <m/>
    <m/>
    <m/>
    <m/>
    <m/>
    <m/>
    <m/>
    <m/>
    <n v="10"/>
    <m/>
    <m/>
    <m/>
    <x v="8"/>
  </r>
  <r>
    <s v="P0310"/>
    <n v="69"/>
    <s v="Female"/>
    <s v="Diabetes"/>
    <s v="Neurology"/>
    <s v="Dr. Priya"/>
    <d v="2024-10-21T00:00:00"/>
    <d v="2024-10-30T00:00:00"/>
    <n v="70571"/>
    <s v="Government"/>
    <s v="Insurance Claim"/>
    <x v="1"/>
    <s v="Follow-up"/>
    <n v="3"/>
    <m/>
    <m/>
    <m/>
    <m/>
    <m/>
    <m/>
    <m/>
    <m/>
    <m/>
    <n v="10"/>
    <m/>
    <m/>
    <m/>
    <x v="8"/>
  </r>
  <r>
    <s v="P0311"/>
    <n v="56"/>
    <s v="Male"/>
    <s v="Respiratory"/>
    <s v="Pulmonology"/>
    <s v="Dr. Meena"/>
    <d v="2024-05-25T00:00:00"/>
    <d v="2024-06-06T00:00:00"/>
    <n v="155050"/>
    <s v="Private"/>
    <s v="UPI"/>
    <x v="2"/>
    <s v="Recovered"/>
    <n v="3"/>
    <m/>
    <m/>
    <m/>
    <m/>
    <m/>
    <m/>
    <m/>
    <m/>
    <m/>
    <n v="5"/>
    <m/>
    <m/>
    <m/>
    <x v="5"/>
  </r>
  <r>
    <s v="P0312"/>
    <n v="50"/>
    <s v="Female"/>
    <s v="Orthopedic"/>
    <s v="Cardiology"/>
    <s v="Dr. Meena"/>
    <d v="2025-12-24T00:00:00"/>
    <d v="2025-12-28T00:00:00"/>
    <n v="141908"/>
    <s v="Corporate"/>
    <s v="Cash"/>
    <x v="3"/>
    <s v="Recovered"/>
    <n v="2"/>
    <m/>
    <m/>
    <m/>
    <m/>
    <m/>
    <m/>
    <m/>
    <m/>
    <m/>
    <n v="12"/>
    <m/>
    <m/>
    <m/>
    <x v="2"/>
  </r>
  <r>
    <s v="P0313"/>
    <n v="84"/>
    <s v="Female"/>
    <s v="Respiratory"/>
    <s v="Neurology"/>
    <s v="Dr. Priya"/>
    <d v="2024-09-03T00:00:00"/>
    <d v="2024-09-10T00:00:00"/>
    <n v="165739"/>
    <s v="Government"/>
    <s v="Insurance Claim"/>
    <x v="1"/>
    <s v="Follow-up"/>
    <n v="2"/>
    <m/>
    <m/>
    <m/>
    <m/>
    <m/>
    <m/>
    <m/>
    <m/>
    <m/>
    <n v="9"/>
    <m/>
    <m/>
    <m/>
    <x v="1"/>
  </r>
  <r>
    <s v="P0314"/>
    <n v="50"/>
    <s v="Male"/>
    <s v="Cardiac"/>
    <s v="General Medicine"/>
    <s v="Dr. Priya"/>
    <d v="2024-12-21T00:00:00"/>
    <d v="2024-12-31T00:00:00"/>
    <n v="102426"/>
    <s v="Corporate"/>
    <s v="Insurance Claim"/>
    <x v="2"/>
    <s v="Follow-up"/>
    <n v="1"/>
    <m/>
    <m/>
    <m/>
    <m/>
    <m/>
    <m/>
    <m/>
    <m/>
    <m/>
    <n v="12"/>
    <m/>
    <m/>
    <m/>
    <x v="2"/>
  </r>
  <r>
    <s v="P0315"/>
    <n v="34"/>
    <s v="Male"/>
    <s v="Cardiac"/>
    <s v="General Medicine"/>
    <s v="Dr. Meena"/>
    <d v="2025-12-15T00:00:00"/>
    <d v="2025-12-31T00:00:00"/>
    <n v="54236"/>
    <s v="Government"/>
    <s v="Insurance Claim"/>
    <x v="0"/>
    <s v="Recovered"/>
    <n v="4"/>
    <m/>
    <m/>
    <m/>
    <m/>
    <m/>
    <m/>
    <m/>
    <m/>
    <m/>
    <n v="12"/>
    <m/>
    <m/>
    <m/>
    <x v="2"/>
  </r>
  <r>
    <s v="P0316"/>
    <n v="67"/>
    <s v="Male"/>
    <s v="Infection"/>
    <s v="Oncology"/>
    <s v="Dr. Arun"/>
    <d v="2024-06-22T00:00:00"/>
    <d v="2024-07-05T00:00:00"/>
    <n v="24994"/>
    <s v="Private"/>
    <s v="Insurance Claim"/>
    <x v="4"/>
    <s v="Recovered"/>
    <n v="3"/>
    <m/>
    <m/>
    <m/>
    <m/>
    <m/>
    <m/>
    <m/>
    <m/>
    <m/>
    <n v="6"/>
    <m/>
    <m/>
    <m/>
    <x v="11"/>
  </r>
  <r>
    <s v="P0317"/>
    <n v="73"/>
    <s v="Male"/>
    <s v="Cancer"/>
    <s v="Oncology"/>
    <s v="Dr. Priya"/>
    <d v="2025-02-09T00:00:00"/>
    <d v="2025-02-26T00:00:00"/>
    <n v="50674"/>
    <s v="Private"/>
    <s v="Card"/>
    <x v="0"/>
    <s v="Recovered"/>
    <n v="4"/>
    <m/>
    <m/>
    <m/>
    <m/>
    <m/>
    <m/>
    <m/>
    <m/>
    <m/>
    <n v="2"/>
    <m/>
    <m/>
    <m/>
    <x v="3"/>
  </r>
  <r>
    <s v="P0318"/>
    <n v="85"/>
    <s v="Male"/>
    <s v="Orthopedic"/>
    <s v="Pulmonology"/>
    <s v="Dr. Priya"/>
    <d v="2025-01-13T00:00:00"/>
    <d v="2025-01-20T00:00:00"/>
    <n v="38158"/>
    <s v="Private"/>
    <s v="Card"/>
    <x v="0"/>
    <s v="Recovered"/>
    <n v="3"/>
    <m/>
    <m/>
    <m/>
    <m/>
    <m/>
    <m/>
    <m/>
    <m/>
    <m/>
    <n v="1"/>
    <m/>
    <m/>
    <m/>
    <x v="4"/>
  </r>
  <r>
    <s v="P0319"/>
    <n v="26"/>
    <s v="Male"/>
    <s v="Diabetes"/>
    <s v="General Medicine"/>
    <s v="Dr. Kumar"/>
    <d v="2025-07-22T00:00:00"/>
    <d v="2025-07-29T00:00:00"/>
    <n v="41745"/>
    <s v="Government"/>
    <s v="Cash"/>
    <x v="0"/>
    <s v="Under Treatment"/>
    <n v="5"/>
    <m/>
    <m/>
    <m/>
    <m/>
    <m/>
    <m/>
    <m/>
    <m/>
    <m/>
    <n v="7"/>
    <m/>
    <m/>
    <m/>
    <x v="7"/>
  </r>
  <r>
    <s v="P0320"/>
    <n v="81"/>
    <s v="Male"/>
    <s v="Cancer"/>
    <s v="Cardiology"/>
    <s v="Dr. Meena"/>
    <d v="2025-01-16T00:00:00"/>
    <d v="2025-01-23T00:00:00"/>
    <n v="214498"/>
    <s v="None"/>
    <s v="Cash"/>
    <x v="4"/>
    <s v="Under Treatment"/>
    <n v="1"/>
    <m/>
    <m/>
    <m/>
    <m/>
    <m/>
    <m/>
    <m/>
    <m/>
    <m/>
    <n v="1"/>
    <m/>
    <m/>
    <m/>
    <x v="4"/>
  </r>
  <r>
    <s v="P0321"/>
    <n v="76"/>
    <s v="Male"/>
    <s v="Cancer"/>
    <s v="Pulmonology"/>
    <s v="Dr. Kumar"/>
    <d v="2025-04-21T00:00:00"/>
    <d v="2025-05-01T00:00:00"/>
    <n v="94080"/>
    <s v="Corporate"/>
    <s v="Insurance Claim"/>
    <x v="1"/>
    <s v="Recovered"/>
    <n v="2"/>
    <m/>
    <m/>
    <m/>
    <m/>
    <m/>
    <m/>
    <m/>
    <m/>
    <m/>
    <n v="4"/>
    <m/>
    <m/>
    <m/>
    <x v="0"/>
  </r>
  <r>
    <s v="P0322"/>
    <n v="85"/>
    <s v="Female"/>
    <s v="Respiratory"/>
    <s v="Cardiology"/>
    <s v="Dr. Raj"/>
    <d v="2024-02-16T00:00:00"/>
    <d v="2024-02-18T00:00:00"/>
    <n v="30957"/>
    <s v="Private"/>
    <s v="Card"/>
    <x v="1"/>
    <s v="Recovered"/>
    <n v="1"/>
    <m/>
    <m/>
    <m/>
    <m/>
    <m/>
    <m/>
    <m/>
    <m/>
    <m/>
    <n v="2"/>
    <m/>
    <m/>
    <m/>
    <x v="3"/>
  </r>
  <r>
    <s v="P0323"/>
    <n v="47"/>
    <s v="Female"/>
    <s v="Respiratory"/>
    <s v="Cardiology"/>
    <s v="Dr. Kumar"/>
    <d v="2025-06-29T00:00:00"/>
    <d v="2025-07-04T00:00:00"/>
    <n v="94656"/>
    <s v="Private"/>
    <s v="Card"/>
    <x v="1"/>
    <s v="Under Treatment"/>
    <n v="5"/>
    <m/>
    <m/>
    <m/>
    <m/>
    <m/>
    <m/>
    <m/>
    <m/>
    <m/>
    <n v="6"/>
    <m/>
    <m/>
    <m/>
    <x v="11"/>
  </r>
  <r>
    <s v="P0324"/>
    <n v="71"/>
    <s v="Male"/>
    <s v="Cancer"/>
    <s v="Pulmonology"/>
    <s v="Dr. Meena"/>
    <d v="2025-08-25T00:00:00"/>
    <d v="2025-09-08T00:00:00"/>
    <n v="137926"/>
    <s v="Government"/>
    <s v="Card"/>
    <x v="1"/>
    <s v="Under Treatment"/>
    <n v="3"/>
    <m/>
    <m/>
    <m/>
    <m/>
    <m/>
    <m/>
    <m/>
    <m/>
    <m/>
    <n v="8"/>
    <m/>
    <m/>
    <m/>
    <x v="10"/>
  </r>
  <r>
    <s v="P0325"/>
    <n v="43"/>
    <s v="Male"/>
    <s v="Orthopedic"/>
    <s v="Neurology"/>
    <s v="Dr. Meena"/>
    <d v="2025-08-22T00:00:00"/>
    <d v="2025-09-04T00:00:00"/>
    <n v="154312"/>
    <s v="Government"/>
    <s v="Insurance Claim"/>
    <x v="2"/>
    <s v="Under Treatment"/>
    <n v="1"/>
    <m/>
    <m/>
    <m/>
    <m/>
    <m/>
    <m/>
    <m/>
    <m/>
    <m/>
    <n v="8"/>
    <m/>
    <m/>
    <m/>
    <x v="10"/>
  </r>
  <r>
    <s v="P0326"/>
    <n v="22"/>
    <s v="Female"/>
    <s v="Orthopedic"/>
    <s v="Pulmonology"/>
    <s v="Dr. Priya"/>
    <d v="2025-02-28T00:00:00"/>
    <d v="2025-03-13T00:00:00"/>
    <n v="105648"/>
    <s v="Government"/>
    <s v="Card"/>
    <x v="0"/>
    <s v="Follow-up"/>
    <n v="2"/>
    <m/>
    <m/>
    <m/>
    <m/>
    <m/>
    <m/>
    <m/>
    <m/>
    <m/>
    <n v="2"/>
    <m/>
    <m/>
    <m/>
    <x v="3"/>
  </r>
  <r>
    <s v="P0327"/>
    <n v="48"/>
    <s v="Female"/>
    <s v="Neurological"/>
    <s v="Cardiology"/>
    <s v="Dr. Raj"/>
    <d v="2025-07-04T00:00:00"/>
    <d v="2025-07-07T00:00:00"/>
    <n v="177201"/>
    <s v="None"/>
    <s v="Card"/>
    <x v="3"/>
    <s v="Follow-up"/>
    <n v="4"/>
    <m/>
    <m/>
    <m/>
    <m/>
    <m/>
    <m/>
    <m/>
    <m/>
    <m/>
    <n v="7"/>
    <m/>
    <m/>
    <m/>
    <x v="7"/>
  </r>
  <r>
    <s v="P0328"/>
    <n v="76"/>
    <s v="Female"/>
    <s v="Cancer"/>
    <s v="Orthopedics"/>
    <s v="Dr. Arun"/>
    <d v="2024-05-19T00:00:00"/>
    <d v="2024-06-02T00:00:00"/>
    <n v="150142"/>
    <s v="Corporate"/>
    <s v="Cash"/>
    <x v="0"/>
    <s v="Under Treatment"/>
    <n v="2"/>
    <m/>
    <m/>
    <m/>
    <m/>
    <m/>
    <m/>
    <m/>
    <m/>
    <m/>
    <n v="5"/>
    <m/>
    <m/>
    <m/>
    <x v="5"/>
  </r>
  <r>
    <s v="P0329"/>
    <n v="57"/>
    <s v="Male"/>
    <s v="Infection"/>
    <s v="Neurology"/>
    <s v="Dr. Meena"/>
    <d v="2024-06-08T00:00:00"/>
    <d v="2024-06-27T00:00:00"/>
    <n v="35288"/>
    <s v="None"/>
    <s v="Card"/>
    <x v="3"/>
    <s v="Follow-up"/>
    <n v="2"/>
    <m/>
    <m/>
    <m/>
    <m/>
    <m/>
    <m/>
    <m/>
    <m/>
    <m/>
    <n v="6"/>
    <m/>
    <m/>
    <m/>
    <x v="11"/>
  </r>
  <r>
    <s v="P0330"/>
    <n v="69"/>
    <s v="Male"/>
    <s v="Orthopedic"/>
    <s v="Orthopedics"/>
    <s v="Dr. Meena"/>
    <d v="2025-06-15T00:00:00"/>
    <d v="2025-06-16T00:00:00"/>
    <n v="185772"/>
    <s v="Government"/>
    <s v="Cash"/>
    <x v="3"/>
    <s v="Under Treatment"/>
    <n v="3"/>
    <m/>
    <m/>
    <m/>
    <m/>
    <m/>
    <m/>
    <m/>
    <m/>
    <m/>
    <n v="6"/>
    <m/>
    <m/>
    <m/>
    <x v="11"/>
  </r>
  <r>
    <s v="P0331"/>
    <n v="43"/>
    <s v="Female"/>
    <s v="Orthopedic"/>
    <s v="Oncology"/>
    <s v="Dr. Raj"/>
    <d v="2024-05-31T00:00:00"/>
    <d v="2024-06-10T00:00:00"/>
    <n v="164887"/>
    <s v="Private"/>
    <s v="UPI"/>
    <x v="2"/>
    <s v="Recovered"/>
    <n v="1"/>
    <m/>
    <m/>
    <m/>
    <m/>
    <m/>
    <m/>
    <m/>
    <m/>
    <m/>
    <n v="5"/>
    <m/>
    <m/>
    <m/>
    <x v="5"/>
  </r>
  <r>
    <s v="P0332"/>
    <n v="32"/>
    <s v="Female"/>
    <s v="Neurological"/>
    <s v="Oncology"/>
    <s v="Dr. Arun"/>
    <d v="2024-04-22T00:00:00"/>
    <d v="2024-05-09T00:00:00"/>
    <n v="214604"/>
    <s v="Corporate"/>
    <s v="UPI"/>
    <x v="1"/>
    <s v="Follow-up"/>
    <n v="4"/>
    <m/>
    <m/>
    <m/>
    <m/>
    <m/>
    <m/>
    <m/>
    <m/>
    <m/>
    <n v="4"/>
    <m/>
    <m/>
    <m/>
    <x v="0"/>
  </r>
  <r>
    <s v="P0333"/>
    <n v="18"/>
    <s v="Female"/>
    <s v="Orthopedic"/>
    <s v="Cardiology"/>
    <s v="Dr. Meena"/>
    <d v="2024-09-19T00:00:00"/>
    <d v="2024-09-25T00:00:00"/>
    <n v="69620"/>
    <s v="Private"/>
    <s v="UPI"/>
    <x v="0"/>
    <s v="Under Treatment"/>
    <n v="3"/>
    <m/>
    <m/>
    <m/>
    <m/>
    <m/>
    <m/>
    <m/>
    <m/>
    <m/>
    <n v="9"/>
    <m/>
    <m/>
    <m/>
    <x v="1"/>
  </r>
  <r>
    <s v="P0334"/>
    <n v="21"/>
    <s v="Female"/>
    <s v="Cardiac"/>
    <s v="Pulmonology"/>
    <s v="Dr. Kumar"/>
    <d v="2025-02-01T00:00:00"/>
    <d v="2025-02-21T00:00:00"/>
    <n v="163077"/>
    <s v="Government"/>
    <s v="UPI"/>
    <x v="0"/>
    <s v="Under Treatment"/>
    <n v="2"/>
    <m/>
    <m/>
    <m/>
    <m/>
    <m/>
    <m/>
    <m/>
    <m/>
    <m/>
    <n v="2"/>
    <m/>
    <m/>
    <m/>
    <x v="3"/>
  </r>
  <r>
    <s v="P0335"/>
    <n v="61"/>
    <s v="Male"/>
    <s v="Cancer"/>
    <s v="Neurology"/>
    <s v="Dr. Arun"/>
    <d v="2025-01-20T00:00:00"/>
    <d v="2025-02-03T00:00:00"/>
    <n v="73062"/>
    <s v="Private"/>
    <s v="Cash"/>
    <x v="1"/>
    <s v="Under Treatment"/>
    <n v="5"/>
    <m/>
    <m/>
    <m/>
    <m/>
    <m/>
    <m/>
    <m/>
    <m/>
    <m/>
    <n v="1"/>
    <m/>
    <m/>
    <m/>
    <x v="4"/>
  </r>
  <r>
    <s v="P0336"/>
    <n v="69"/>
    <s v="Female"/>
    <s v="Cancer"/>
    <s v="Neurology"/>
    <s v="Dr. Priya"/>
    <d v="2025-02-18T00:00:00"/>
    <d v="2025-02-19T00:00:00"/>
    <n v="55743"/>
    <s v="None"/>
    <s v="Insurance Claim"/>
    <x v="2"/>
    <s v="Follow-up"/>
    <n v="2"/>
    <m/>
    <m/>
    <m/>
    <m/>
    <m/>
    <m/>
    <m/>
    <m/>
    <m/>
    <n v="2"/>
    <m/>
    <m/>
    <m/>
    <x v="3"/>
  </r>
  <r>
    <s v="P0337"/>
    <n v="39"/>
    <s v="Female"/>
    <s v="Diabetes"/>
    <s v="Pulmonology"/>
    <s v="Dr. Raj"/>
    <d v="2024-06-30T00:00:00"/>
    <d v="2024-07-08T00:00:00"/>
    <n v="99443"/>
    <s v="Private"/>
    <s v="Card"/>
    <x v="2"/>
    <s v="Under Treatment"/>
    <n v="4"/>
    <m/>
    <m/>
    <m/>
    <m/>
    <m/>
    <m/>
    <m/>
    <m/>
    <m/>
    <n v="6"/>
    <m/>
    <m/>
    <m/>
    <x v="11"/>
  </r>
  <r>
    <s v="P0338"/>
    <n v="77"/>
    <s v="Male"/>
    <s v="Orthopedic"/>
    <s v="Cardiology"/>
    <s v="Dr. Arun"/>
    <d v="2024-05-11T00:00:00"/>
    <d v="2024-05-31T00:00:00"/>
    <n v="138050"/>
    <s v="Government"/>
    <s v="Card"/>
    <x v="1"/>
    <s v="Under Treatment"/>
    <n v="5"/>
    <m/>
    <m/>
    <m/>
    <m/>
    <m/>
    <m/>
    <m/>
    <m/>
    <m/>
    <n v="5"/>
    <m/>
    <m/>
    <m/>
    <x v="5"/>
  </r>
  <r>
    <s v="P0339"/>
    <n v="83"/>
    <s v="Male"/>
    <s v="Orthopedic"/>
    <s v="Cardiology"/>
    <s v="Dr. Raj"/>
    <d v="2025-08-01T00:00:00"/>
    <d v="2025-08-05T00:00:00"/>
    <n v="10835"/>
    <s v="None"/>
    <s v="Insurance Claim"/>
    <x v="1"/>
    <s v="Recovered"/>
    <n v="5"/>
    <m/>
    <m/>
    <m/>
    <m/>
    <m/>
    <m/>
    <m/>
    <m/>
    <m/>
    <n v="8"/>
    <m/>
    <m/>
    <m/>
    <x v="10"/>
  </r>
  <r>
    <s v="P0340"/>
    <n v="34"/>
    <s v="Male"/>
    <s v="Diabetes"/>
    <s v="Orthopedics"/>
    <s v="Dr. Raj"/>
    <d v="2025-12-23T00:00:00"/>
    <d v="2025-12-25T00:00:00"/>
    <n v="125891"/>
    <s v="Government"/>
    <s v="Cash"/>
    <x v="1"/>
    <s v="Recovered"/>
    <n v="3"/>
    <m/>
    <m/>
    <m/>
    <m/>
    <m/>
    <m/>
    <m/>
    <m/>
    <m/>
    <n v="12"/>
    <m/>
    <m/>
    <m/>
    <x v="2"/>
  </r>
  <r>
    <s v="P0341"/>
    <n v="52"/>
    <s v="Female"/>
    <s v="Cancer"/>
    <s v="Oncology"/>
    <s v="Dr. Meena"/>
    <d v="2025-12-01T00:00:00"/>
    <d v="2025-12-08T00:00:00"/>
    <n v="13275"/>
    <s v="Government"/>
    <s v="UPI"/>
    <x v="2"/>
    <s v="Recovered"/>
    <n v="2"/>
    <m/>
    <m/>
    <m/>
    <m/>
    <m/>
    <m/>
    <m/>
    <m/>
    <m/>
    <n v="12"/>
    <m/>
    <m/>
    <m/>
    <x v="2"/>
  </r>
  <r>
    <s v="P0342"/>
    <n v="61"/>
    <s v="Female"/>
    <s v="Diabetes"/>
    <s v="Neurology"/>
    <s v="Dr. Raj"/>
    <d v="2024-09-13T00:00:00"/>
    <d v="2024-09-18T00:00:00"/>
    <n v="218676"/>
    <s v="Corporate"/>
    <s v="Insurance Claim"/>
    <x v="1"/>
    <s v="Recovered"/>
    <n v="3"/>
    <m/>
    <m/>
    <m/>
    <m/>
    <m/>
    <m/>
    <m/>
    <m/>
    <m/>
    <n v="9"/>
    <m/>
    <m/>
    <m/>
    <x v="1"/>
  </r>
  <r>
    <s v="P0343"/>
    <n v="54"/>
    <s v="Male"/>
    <s v="Respiratory"/>
    <s v="General Medicine"/>
    <s v="Dr. Meena"/>
    <d v="2025-03-02T00:00:00"/>
    <d v="2025-03-19T00:00:00"/>
    <n v="9197"/>
    <s v="None"/>
    <s v="UPI"/>
    <x v="4"/>
    <s v="Under Treatment"/>
    <n v="4"/>
    <m/>
    <m/>
    <m/>
    <m/>
    <m/>
    <m/>
    <m/>
    <m/>
    <m/>
    <n v="3"/>
    <m/>
    <m/>
    <m/>
    <x v="9"/>
  </r>
  <r>
    <s v="P0344"/>
    <n v="22"/>
    <s v="Male"/>
    <s v="Cancer"/>
    <s v="Orthopedics"/>
    <s v="Dr. Priya"/>
    <d v="2024-09-26T00:00:00"/>
    <d v="2024-10-11T00:00:00"/>
    <n v="245726"/>
    <s v="Corporate"/>
    <s v="UPI"/>
    <x v="1"/>
    <s v="Follow-up"/>
    <n v="1"/>
    <m/>
    <m/>
    <m/>
    <m/>
    <m/>
    <m/>
    <m/>
    <m/>
    <m/>
    <n v="9"/>
    <m/>
    <m/>
    <m/>
    <x v="1"/>
  </r>
  <r>
    <s v="P0345"/>
    <n v="34"/>
    <s v="Female"/>
    <s v="Diabetes"/>
    <s v="General Medicine"/>
    <s v="Dr. Kumar"/>
    <d v="2024-01-25T00:00:00"/>
    <d v="2024-02-05T00:00:00"/>
    <n v="149552"/>
    <s v="Government"/>
    <s v="UPI"/>
    <x v="2"/>
    <s v="Recovered"/>
    <n v="3"/>
    <m/>
    <m/>
    <m/>
    <m/>
    <m/>
    <m/>
    <m/>
    <m/>
    <m/>
    <n v="1"/>
    <m/>
    <m/>
    <m/>
    <x v="4"/>
  </r>
  <r>
    <s v="P0346"/>
    <n v="70"/>
    <s v="Male"/>
    <s v="Cardiac"/>
    <s v="General Medicine"/>
    <s v="Dr. Arun"/>
    <d v="2025-06-05T00:00:00"/>
    <d v="2025-06-15T00:00:00"/>
    <n v="55227"/>
    <s v="Government"/>
    <s v="Card"/>
    <x v="3"/>
    <s v="Under Treatment"/>
    <n v="1"/>
    <m/>
    <m/>
    <m/>
    <m/>
    <m/>
    <m/>
    <m/>
    <m/>
    <m/>
    <n v="6"/>
    <m/>
    <m/>
    <m/>
    <x v="11"/>
  </r>
  <r>
    <s v="P0347"/>
    <n v="78"/>
    <s v="Male"/>
    <s v="Infection"/>
    <s v="Oncology"/>
    <s v="Dr. Raj"/>
    <d v="2024-03-03T00:00:00"/>
    <d v="2024-03-21T00:00:00"/>
    <n v="211021"/>
    <s v="None"/>
    <s v="UPI"/>
    <x v="1"/>
    <s v="Under Treatment"/>
    <n v="4"/>
    <m/>
    <m/>
    <m/>
    <m/>
    <m/>
    <m/>
    <m/>
    <m/>
    <m/>
    <n v="3"/>
    <m/>
    <m/>
    <m/>
    <x v="9"/>
  </r>
  <r>
    <s v="P0348"/>
    <n v="41"/>
    <s v="Male"/>
    <s v="Infection"/>
    <s v="Pulmonology"/>
    <s v="Dr. Meena"/>
    <d v="2024-01-13T00:00:00"/>
    <d v="2024-02-02T00:00:00"/>
    <n v="47640"/>
    <s v="None"/>
    <s v="Cash"/>
    <x v="2"/>
    <s v="Follow-up"/>
    <n v="1"/>
    <m/>
    <m/>
    <m/>
    <m/>
    <m/>
    <m/>
    <m/>
    <m/>
    <m/>
    <n v="1"/>
    <m/>
    <m/>
    <m/>
    <x v="4"/>
  </r>
  <r>
    <s v="P0349"/>
    <n v="34"/>
    <s v="Male"/>
    <s v="Diabetes"/>
    <s v="General Medicine"/>
    <s v="Dr. Raj"/>
    <d v="2024-06-21T00:00:00"/>
    <d v="2024-06-29T00:00:00"/>
    <n v="188598"/>
    <s v="Corporate"/>
    <s v="Insurance Claim"/>
    <x v="1"/>
    <s v="Follow-up"/>
    <n v="1"/>
    <m/>
    <m/>
    <m/>
    <m/>
    <m/>
    <m/>
    <m/>
    <m/>
    <m/>
    <n v="6"/>
    <m/>
    <m/>
    <m/>
    <x v="11"/>
  </r>
  <r>
    <s v="P0350"/>
    <n v="60"/>
    <s v="Female"/>
    <s v="Diabetes"/>
    <s v="General Medicine"/>
    <s v="Dr. Raj"/>
    <d v="2025-11-17T00:00:00"/>
    <d v="2025-12-03T00:00:00"/>
    <n v="7579"/>
    <s v="Government"/>
    <s v="Cash"/>
    <x v="0"/>
    <s v="Under Treatment"/>
    <n v="3"/>
    <m/>
    <m/>
    <m/>
    <m/>
    <m/>
    <m/>
    <m/>
    <m/>
    <m/>
    <n v="11"/>
    <m/>
    <m/>
    <m/>
    <x v="6"/>
  </r>
  <r>
    <s v="P0351"/>
    <n v="24"/>
    <s v="Female"/>
    <s v="Orthopedic"/>
    <s v="Pulmonology"/>
    <s v="Dr. Kumar"/>
    <d v="2024-11-01T00:00:00"/>
    <d v="2024-11-11T00:00:00"/>
    <n v="51996"/>
    <s v="Government"/>
    <s v="UPI"/>
    <x v="2"/>
    <s v="Recovered"/>
    <n v="5"/>
    <m/>
    <m/>
    <m/>
    <m/>
    <m/>
    <m/>
    <m/>
    <m/>
    <m/>
    <n v="11"/>
    <m/>
    <m/>
    <m/>
    <x v="6"/>
  </r>
  <r>
    <s v="P0352"/>
    <n v="63"/>
    <s v="Male"/>
    <s v="Neurological"/>
    <s v="Oncology"/>
    <s v="Dr. Meena"/>
    <d v="2024-11-15T00:00:00"/>
    <d v="2024-11-24T00:00:00"/>
    <n v="150913"/>
    <s v="None"/>
    <s v="Cash"/>
    <x v="4"/>
    <s v="Follow-up"/>
    <n v="2"/>
    <m/>
    <m/>
    <m/>
    <m/>
    <m/>
    <m/>
    <m/>
    <m/>
    <m/>
    <n v="11"/>
    <m/>
    <m/>
    <m/>
    <x v="6"/>
  </r>
  <r>
    <s v="P0353"/>
    <n v="69"/>
    <s v="Female"/>
    <s v="Infection"/>
    <s v="Oncology"/>
    <s v="Dr. Arun"/>
    <d v="2024-02-25T00:00:00"/>
    <d v="2024-03-08T00:00:00"/>
    <n v="112515"/>
    <s v="Government"/>
    <s v="UPI"/>
    <x v="3"/>
    <s v="Follow-up"/>
    <n v="3"/>
    <m/>
    <m/>
    <m/>
    <m/>
    <m/>
    <m/>
    <m/>
    <m/>
    <m/>
    <n v="2"/>
    <m/>
    <m/>
    <m/>
    <x v="3"/>
  </r>
  <r>
    <s v="P0354"/>
    <n v="48"/>
    <s v="Female"/>
    <s v="Orthopedic"/>
    <s v="Orthopedics"/>
    <s v="Dr. Meena"/>
    <d v="2025-05-23T00:00:00"/>
    <d v="2025-05-25T00:00:00"/>
    <n v="209686"/>
    <s v="Government"/>
    <s v="Card"/>
    <x v="1"/>
    <s v="Follow-up"/>
    <n v="3"/>
    <m/>
    <m/>
    <m/>
    <m/>
    <m/>
    <m/>
    <m/>
    <m/>
    <m/>
    <n v="5"/>
    <m/>
    <m/>
    <m/>
    <x v="5"/>
  </r>
  <r>
    <s v="P0355"/>
    <n v="79"/>
    <s v="Female"/>
    <s v="Infection"/>
    <s v="Cardiology"/>
    <s v="Dr. Priya"/>
    <d v="2025-05-31T00:00:00"/>
    <d v="2025-06-01T00:00:00"/>
    <n v="104658"/>
    <s v="None"/>
    <s v="Card"/>
    <x v="1"/>
    <s v="Under Treatment"/>
    <n v="5"/>
    <m/>
    <m/>
    <m/>
    <m/>
    <m/>
    <m/>
    <m/>
    <m/>
    <m/>
    <n v="5"/>
    <m/>
    <m/>
    <m/>
    <x v="5"/>
  </r>
  <r>
    <s v="P0356"/>
    <n v="84"/>
    <s v="Male"/>
    <s v="Diabetes"/>
    <s v="Orthopedics"/>
    <s v="Dr. Raj"/>
    <d v="2024-10-22T00:00:00"/>
    <d v="2024-10-26T00:00:00"/>
    <n v="233294"/>
    <s v="Private"/>
    <s v="Insurance Claim"/>
    <x v="4"/>
    <s v="Follow-up"/>
    <n v="4"/>
    <m/>
    <m/>
    <m/>
    <m/>
    <m/>
    <m/>
    <m/>
    <m/>
    <m/>
    <n v="10"/>
    <m/>
    <m/>
    <m/>
    <x v="8"/>
  </r>
  <r>
    <s v="P0357"/>
    <n v="63"/>
    <s v="Female"/>
    <s v="Diabetes"/>
    <s v="Pulmonology"/>
    <s v="Dr. Priya"/>
    <d v="2024-06-07T00:00:00"/>
    <d v="2024-06-22T00:00:00"/>
    <n v="85002"/>
    <s v="Government"/>
    <s v="Insurance Claim"/>
    <x v="3"/>
    <s v="Under Treatment"/>
    <n v="5"/>
    <m/>
    <m/>
    <m/>
    <m/>
    <m/>
    <m/>
    <m/>
    <m/>
    <m/>
    <n v="6"/>
    <m/>
    <m/>
    <m/>
    <x v="11"/>
  </r>
  <r>
    <s v="P0358"/>
    <n v="52"/>
    <s v="Male"/>
    <s v="Infection"/>
    <s v="General Medicine"/>
    <s v="Dr. Priya"/>
    <d v="2025-09-27T00:00:00"/>
    <d v="2025-10-06T00:00:00"/>
    <n v="11924"/>
    <s v="Government"/>
    <s v="Cash"/>
    <x v="0"/>
    <s v="Under Treatment"/>
    <n v="4"/>
    <m/>
    <m/>
    <m/>
    <m/>
    <m/>
    <m/>
    <m/>
    <m/>
    <m/>
    <n v="9"/>
    <m/>
    <m/>
    <m/>
    <x v="1"/>
  </r>
  <r>
    <s v="P0359"/>
    <n v="23"/>
    <s v="Female"/>
    <s v="Neurological"/>
    <s v="Neurology"/>
    <s v="Dr. Arun"/>
    <d v="2024-01-10T00:00:00"/>
    <d v="2024-01-22T00:00:00"/>
    <n v="146084"/>
    <s v="None"/>
    <s v="Card"/>
    <x v="2"/>
    <s v="Under Treatment"/>
    <n v="3"/>
    <m/>
    <m/>
    <m/>
    <m/>
    <m/>
    <m/>
    <m/>
    <m/>
    <m/>
    <n v="1"/>
    <m/>
    <m/>
    <m/>
    <x v="4"/>
  </r>
  <r>
    <s v="P0360"/>
    <n v="53"/>
    <s v="Male"/>
    <s v="Diabetes"/>
    <s v="Cardiology"/>
    <s v="Dr. Kumar"/>
    <d v="2025-09-20T00:00:00"/>
    <d v="2025-10-02T00:00:00"/>
    <n v="134687"/>
    <s v="None"/>
    <s v="Cash"/>
    <x v="1"/>
    <s v="Follow-up"/>
    <n v="4"/>
    <m/>
    <m/>
    <m/>
    <m/>
    <m/>
    <m/>
    <m/>
    <m/>
    <m/>
    <n v="9"/>
    <m/>
    <m/>
    <m/>
    <x v="1"/>
  </r>
  <r>
    <s v="P0361"/>
    <n v="46"/>
    <s v="Female"/>
    <s v="Diabetes"/>
    <s v="Cardiology"/>
    <s v="Dr. Meena"/>
    <d v="2025-11-10T00:00:00"/>
    <d v="2025-11-16T00:00:00"/>
    <n v="94141"/>
    <s v="Private"/>
    <s v="Card"/>
    <x v="1"/>
    <s v="Under Treatment"/>
    <n v="2"/>
    <m/>
    <m/>
    <m/>
    <m/>
    <m/>
    <m/>
    <m/>
    <m/>
    <m/>
    <n v="11"/>
    <m/>
    <m/>
    <m/>
    <x v="6"/>
  </r>
  <r>
    <s v="P0362"/>
    <n v="25"/>
    <s v="Female"/>
    <s v="Diabetes"/>
    <s v="Oncology"/>
    <s v="Dr. Arun"/>
    <d v="2025-04-11T00:00:00"/>
    <d v="2025-04-22T00:00:00"/>
    <n v="15695"/>
    <s v="Government"/>
    <s v="Card"/>
    <x v="4"/>
    <s v="Follow-up"/>
    <n v="3"/>
    <m/>
    <m/>
    <m/>
    <m/>
    <m/>
    <m/>
    <m/>
    <m/>
    <m/>
    <n v="4"/>
    <m/>
    <m/>
    <m/>
    <x v="0"/>
  </r>
  <r>
    <s v="P0363"/>
    <n v="30"/>
    <s v="Male"/>
    <s v="Orthopedic"/>
    <s v="Cardiology"/>
    <s v="Dr. Arun"/>
    <d v="2025-01-19T00:00:00"/>
    <d v="2025-01-25T00:00:00"/>
    <n v="26973"/>
    <s v="None"/>
    <s v="Cash"/>
    <x v="2"/>
    <s v="Follow-up"/>
    <n v="3"/>
    <m/>
    <m/>
    <m/>
    <m/>
    <m/>
    <m/>
    <m/>
    <m/>
    <m/>
    <n v="1"/>
    <m/>
    <m/>
    <m/>
    <x v="4"/>
  </r>
  <r>
    <s v="P0364"/>
    <n v="24"/>
    <s v="Female"/>
    <s v="Neurological"/>
    <s v="Oncology"/>
    <s v="Dr. Arun"/>
    <d v="2024-02-10T00:00:00"/>
    <d v="2024-03-01T00:00:00"/>
    <n v="238947"/>
    <s v="Corporate"/>
    <s v="Cash"/>
    <x v="1"/>
    <s v="Under Treatment"/>
    <n v="5"/>
    <m/>
    <m/>
    <m/>
    <m/>
    <m/>
    <m/>
    <m/>
    <m/>
    <m/>
    <n v="2"/>
    <m/>
    <m/>
    <m/>
    <x v="3"/>
  </r>
  <r>
    <s v="P0365"/>
    <n v="36"/>
    <s v="Female"/>
    <s v="Infection"/>
    <s v="Cardiology"/>
    <s v="Dr. Kumar"/>
    <d v="2024-07-29T00:00:00"/>
    <d v="2024-08-01T00:00:00"/>
    <n v="79997"/>
    <s v="Private"/>
    <s v="Card"/>
    <x v="1"/>
    <s v="Recovered"/>
    <n v="3"/>
    <m/>
    <m/>
    <m/>
    <m/>
    <m/>
    <m/>
    <m/>
    <m/>
    <m/>
    <n v="7"/>
    <m/>
    <m/>
    <m/>
    <x v="7"/>
  </r>
  <r>
    <s v="P0366"/>
    <n v="34"/>
    <s v="Female"/>
    <s v="Cardiac"/>
    <s v="General Medicine"/>
    <s v="Dr. Arun"/>
    <d v="2024-05-16T00:00:00"/>
    <d v="2024-05-31T00:00:00"/>
    <n v="35703"/>
    <s v="Corporate"/>
    <s v="Card"/>
    <x v="0"/>
    <s v="Recovered"/>
    <n v="4"/>
    <m/>
    <m/>
    <m/>
    <m/>
    <m/>
    <m/>
    <m/>
    <m/>
    <m/>
    <n v="5"/>
    <m/>
    <m/>
    <m/>
    <x v="5"/>
  </r>
  <r>
    <s v="P0367"/>
    <n v="41"/>
    <s v="Female"/>
    <s v="Orthopedic"/>
    <s v="Pulmonology"/>
    <s v="Dr. Kumar"/>
    <d v="2024-07-06T00:00:00"/>
    <d v="2024-07-15T00:00:00"/>
    <n v="47032"/>
    <s v="Corporate"/>
    <s v="Insurance Claim"/>
    <x v="0"/>
    <s v="Under Treatment"/>
    <n v="2"/>
    <m/>
    <m/>
    <m/>
    <m/>
    <m/>
    <m/>
    <m/>
    <m/>
    <m/>
    <n v="7"/>
    <m/>
    <m/>
    <m/>
    <x v="7"/>
  </r>
  <r>
    <s v="P0368"/>
    <n v="73"/>
    <s v="Female"/>
    <s v="Infection"/>
    <s v="General Medicine"/>
    <s v="Dr. Priya"/>
    <d v="2024-04-21T00:00:00"/>
    <d v="2024-04-24T00:00:00"/>
    <n v="231978"/>
    <s v="Private"/>
    <s v="UPI"/>
    <x v="0"/>
    <s v="Under Treatment"/>
    <n v="4"/>
    <m/>
    <m/>
    <m/>
    <m/>
    <m/>
    <m/>
    <m/>
    <m/>
    <m/>
    <n v="4"/>
    <m/>
    <m/>
    <m/>
    <x v="0"/>
  </r>
  <r>
    <s v="P0369"/>
    <n v="66"/>
    <s v="Male"/>
    <s v="Respiratory"/>
    <s v="General Medicine"/>
    <s v="Dr. Meena"/>
    <d v="2025-06-06T00:00:00"/>
    <d v="2025-06-08T00:00:00"/>
    <n v="181309"/>
    <s v="Private"/>
    <s v="Insurance Claim"/>
    <x v="0"/>
    <s v="Recovered"/>
    <n v="5"/>
    <m/>
    <m/>
    <m/>
    <m/>
    <m/>
    <m/>
    <m/>
    <m/>
    <m/>
    <n v="6"/>
    <m/>
    <m/>
    <m/>
    <x v="11"/>
  </r>
  <r>
    <s v="P0370"/>
    <n v="74"/>
    <s v="Female"/>
    <s v="Respiratory"/>
    <s v="General Medicine"/>
    <s v="Dr. Kumar"/>
    <d v="2024-01-15T00:00:00"/>
    <d v="2024-01-24T00:00:00"/>
    <n v="58995"/>
    <s v="Private"/>
    <s v="Card"/>
    <x v="3"/>
    <s v="Recovered"/>
    <n v="2"/>
    <m/>
    <m/>
    <m/>
    <m/>
    <m/>
    <m/>
    <m/>
    <m/>
    <m/>
    <n v="1"/>
    <m/>
    <m/>
    <m/>
    <x v="4"/>
  </r>
  <r>
    <s v="P0371"/>
    <n v="73"/>
    <s v="Female"/>
    <s v="Diabetes"/>
    <s v="Cardiology"/>
    <s v="Dr. Arun"/>
    <d v="2024-05-18T00:00:00"/>
    <d v="2024-06-03T00:00:00"/>
    <n v="42592"/>
    <s v="Government"/>
    <s v="Card"/>
    <x v="4"/>
    <s v="Under Treatment"/>
    <n v="4"/>
    <m/>
    <m/>
    <m/>
    <m/>
    <m/>
    <m/>
    <m/>
    <m/>
    <m/>
    <n v="5"/>
    <m/>
    <m/>
    <m/>
    <x v="5"/>
  </r>
  <r>
    <s v="P0372"/>
    <n v="47"/>
    <s v="Female"/>
    <s v="Infection"/>
    <s v="Orthopedics"/>
    <s v="Dr. Raj"/>
    <d v="2024-02-22T00:00:00"/>
    <d v="2024-03-13T00:00:00"/>
    <n v="186335"/>
    <s v="Government"/>
    <s v="Insurance Claim"/>
    <x v="4"/>
    <s v="Under Treatment"/>
    <n v="1"/>
    <m/>
    <m/>
    <m/>
    <m/>
    <m/>
    <m/>
    <m/>
    <m/>
    <m/>
    <n v="2"/>
    <m/>
    <m/>
    <m/>
    <x v="3"/>
  </r>
  <r>
    <s v="P0373"/>
    <n v="24"/>
    <s v="Female"/>
    <s v="Respiratory"/>
    <s v="General Medicine"/>
    <s v="Dr. Kumar"/>
    <d v="2025-03-24T00:00:00"/>
    <d v="2025-04-02T00:00:00"/>
    <n v="161605"/>
    <s v="Private"/>
    <s v="UPI"/>
    <x v="0"/>
    <s v="Follow-up"/>
    <n v="2"/>
    <m/>
    <m/>
    <m/>
    <m/>
    <m/>
    <m/>
    <m/>
    <m/>
    <m/>
    <n v="3"/>
    <m/>
    <m/>
    <m/>
    <x v="9"/>
  </r>
  <r>
    <s v="P0374"/>
    <n v="30"/>
    <s v="Male"/>
    <s v="Cardiac"/>
    <s v="Neurology"/>
    <s v="Dr. Priya"/>
    <d v="2024-02-20T00:00:00"/>
    <d v="2024-03-10T00:00:00"/>
    <n v="65037"/>
    <s v="Corporate"/>
    <s v="Insurance Claim"/>
    <x v="0"/>
    <s v="Under Treatment"/>
    <n v="5"/>
    <m/>
    <m/>
    <m/>
    <m/>
    <m/>
    <m/>
    <m/>
    <m/>
    <m/>
    <n v="2"/>
    <m/>
    <m/>
    <m/>
    <x v="3"/>
  </r>
  <r>
    <s v="P0375"/>
    <n v="51"/>
    <s v="Male"/>
    <s v="Orthopedic"/>
    <s v="Pulmonology"/>
    <s v="Dr. Meena"/>
    <d v="2024-02-26T00:00:00"/>
    <d v="2024-03-04T00:00:00"/>
    <n v="82298"/>
    <s v="Corporate"/>
    <s v="Insurance Claim"/>
    <x v="1"/>
    <s v="Follow-up"/>
    <n v="4"/>
    <m/>
    <m/>
    <m/>
    <m/>
    <m/>
    <m/>
    <m/>
    <m/>
    <m/>
    <n v="2"/>
    <m/>
    <m/>
    <m/>
    <x v="3"/>
  </r>
  <r>
    <s v="P0376"/>
    <n v="73"/>
    <s v="Male"/>
    <s v="Diabetes"/>
    <s v="General Medicine"/>
    <s v="Dr. Raj"/>
    <d v="2025-07-30T00:00:00"/>
    <d v="2025-08-18T00:00:00"/>
    <n v="123563"/>
    <s v="Corporate"/>
    <s v="UPI"/>
    <x v="0"/>
    <s v="Follow-up"/>
    <n v="2"/>
    <m/>
    <m/>
    <m/>
    <m/>
    <m/>
    <m/>
    <m/>
    <m/>
    <m/>
    <n v="7"/>
    <m/>
    <m/>
    <m/>
    <x v="7"/>
  </r>
  <r>
    <s v="P0377"/>
    <n v="79"/>
    <s v="Female"/>
    <s v="Neurological"/>
    <s v="Oncology"/>
    <s v="Dr. Priya"/>
    <d v="2024-06-02T00:00:00"/>
    <d v="2024-06-08T00:00:00"/>
    <n v="150242"/>
    <s v="Private"/>
    <s v="Card"/>
    <x v="3"/>
    <s v="Recovered"/>
    <n v="4"/>
    <m/>
    <m/>
    <m/>
    <m/>
    <m/>
    <m/>
    <m/>
    <m/>
    <m/>
    <n v="6"/>
    <m/>
    <m/>
    <m/>
    <x v="11"/>
  </r>
  <r>
    <s v="P0378"/>
    <n v="72"/>
    <s v="Female"/>
    <s v="Cancer"/>
    <s v="Pulmonology"/>
    <s v="Dr. Raj"/>
    <d v="2025-06-11T00:00:00"/>
    <d v="2025-06-14T00:00:00"/>
    <n v="90839"/>
    <s v="Government"/>
    <s v="UPI"/>
    <x v="3"/>
    <s v="Under Treatment"/>
    <n v="2"/>
    <m/>
    <m/>
    <m/>
    <m/>
    <m/>
    <m/>
    <m/>
    <m/>
    <m/>
    <n v="6"/>
    <m/>
    <m/>
    <m/>
    <x v="11"/>
  </r>
  <r>
    <s v="P0379"/>
    <n v="29"/>
    <s v="Male"/>
    <s v="Cardiac"/>
    <s v="Neurology"/>
    <s v="Dr. Raj"/>
    <d v="2025-04-05T00:00:00"/>
    <d v="2025-04-20T00:00:00"/>
    <n v="188240"/>
    <s v="Government"/>
    <s v="Cash"/>
    <x v="4"/>
    <s v="Recovered"/>
    <n v="5"/>
    <m/>
    <m/>
    <m/>
    <m/>
    <m/>
    <m/>
    <m/>
    <m/>
    <m/>
    <n v="4"/>
    <m/>
    <m/>
    <m/>
    <x v="0"/>
  </r>
  <r>
    <s v="P0380"/>
    <n v="54"/>
    <s v="Male"/>
    <s v="Infection"/>
    <s v="General Medicine"/>
    <s v="Dr. Raj"/>
    <d v="2025-02-14T00:00:00"/>
    <d v="2025-02-24T00:00:00"/>
    <n v="230199"/>
    <s v="None"/>
    <s v="Insurance Claim"/>
    <x v="3"/>
    <s v="Recovered"/>
    <n v="5"/>
    <m/>
    <m/>
    <m/>
    <m/>
    <m/>
    <m/>
    <m/>
    <m/>
    <m/>
    <n v="2"/>
    <m/>
    <m/>
    <m/>
    <x v="3"/>
  </r>
  <r>
    <s v="P0381"/>
    <n v="29"/>
    <s v="Female"/>
    <s v="Respiratory"/>
    <s v="Orthopedics"/>
    <s v="Dr. Arun"/>
    <d v="2025-05-16T00:00:00"/>
    <d v="2025-05-25T00:00:00"/>
    <n v="47197"/>
    <s v="Private"/>
    <s v="Card"/>
    <x v="2"/>
    <s v="Under Treatment"/>
    <n v="4"/>
    <m/>
    <m/>
    <m/>
    <m/>
    <m/>
    <m/>
    <m/>
    <m/>
    <m/>
    <n v="5"/>
    <m/>
    <m/>
    <m/>
    <x v="5"/>
  </r>
  <r>
    <s v="P0382"/>
    <n v="30"/>
    <s v="Female"/>
    <s v="Neurological"/>
    <s v="Oncology"/>
    <s v="Dr. Kumar"/>
    <d v="2024-05-27T00:00:00"/>
    <d v="2024-06-11T00:00:00"/>
    <n v="97393"/>
    <s v="Government"/>
    <s v="Cash"/>
    <x v="1"/>
    <s v="Follow-up"/>
    <n v="3"/>
    <m/>
    <m/>
    <m/>
    <m/>
    <m/>
    <m/>
    <m/>
    <m/>
    <m/>
    <n v="5"/>
    <m/>
    <m/>
    <m/>
    <x v="5"/>
  </r>
  <r>
    <s v="P0383"/>
    <n v="24"/>
    <s v="Female"/>
    <s v="Neurological"/>
    <s v="Neurology"/>
    <s v="Dr. Priya"/>
    <d v="2024-04-22T00:00:00"/>
    <d v="2024-05-12T00:00:00"/>
    <n v="157210"/>
    <s v="Corporate"/>
    <s v="UPI"/>
    <x v="0"/>
    <s v="Recovered"/>
    <n v="3"/>
    <m/>
    <m/>
    <m/>
    <m/>
    <m/>
    <m/>
    <m/>
    <m/>
    <m/>
    <n v="4"/>
    <m/>
    <m/>
    <m/>
    <x v="0"/>
  </r>
  <r>
    <s v="P0384"/>
    <n v="31"/>
    <s v="Female"/>
    <s v="Cardiac"/>
    <s v="Pulmonology"/>
    <s v="Dr. Arun"/>
    <d v="2025-09-06T00:00:00"/>
    <d v="2025-09-13T00:00:00"/>
    <n v="116718"/>
    <s v="Private"/>
    <s v="Card"/>
    <x v="3"/>
    <s v="Follow-up"/>
    <n v="5"/>
    <m/>
    <m/>
    <m/>
    <m/>
    <m/>
    <m/>
    <m/>
    <m/>
    <m/>
    <n v="9"/>
    <m/>
    <m/>
    <m/>
    <x v="1"/>
  </r>
  <r>
    <s v="P0385"/>
    <n v="33"/>
    <s v="Female"/>
    <s v="Infection"/>
    <s v="General Medicine"/>
    <s v="Dr. Meena"/>
    <d v="2025-01-12T00:00:00"/>
    <d v="2025-01-20T00:00:00"/>
    <n v="159013"/>
    <s v="Corporate"/>
    <s v="Card"/>
    <x v="0"/>
    <s v="Under Treatment"/>
    <n v="2"/>
    <m/>
    <m/>
    <m/>
    <m/>
    <m/>
    <m/>
    <m/>
    <m/>
    <m/>
    <n v="1"/>
    <m/>
    <m/>
    <m/>
    <x v="4"/>
  </r>
  <r>
    <s v="P0386"/>
    <n v="52"/>
    <s v="Female"/>
    <s v="Infection"/>
    <s v="Cardiology"/>
    <s v="Dr. Priya"/>
    <d v="2024-03-02T00:00:00"/>
    <d v="2024-03-11T00:00:00"/>
    <n v="74196"/>
    <s v="Private"/>
    <s v="UPI"/>
    <x v="4"/>
    <s v="Under Treatment"/>
    <n v="3"/>
    <m/>
    <m/>
    <m/>
    <m/>
    <m/>
    <m/>
    <m/>
    <m/>
    <m/>
    <n v="3"/>
    <m/>
    <m/>
    <m/>
    <x v="9"/>
  </r>
  <r>
    <s v="P0387"/>
    <n v="41"/>
    <s v="Female"/>
    <s v="Respiratory"/>
    <s v="Pulmonology"/>
    <s v="Dr. Raj"/>
    <d v="2024-04-03T00:00:00"/>
    <d v="2024-04-07T00:00:00"/>
    <n v="116249"/>
    <s v="Private"/>
    <s v="Insurance Claim"/>
    <x v="3"/>
    <s v="Under Treatment"/>
    <n v="1"/>
    <m/>
    <m/>
    <m/>
    <m/>
    <m/>
    <m/>
    <m/>
    <m/>
    <m/>
    <n v="4"/>
    <m/>
    <m/>
    <m/>
    <x v="0"/>
  </r>
  <r>
    <s v="P0388"/>
    <n v="61"/>
    <s v="Female"/>
    <s v="Respiratory"/>
    <s v="Cardiology"/>
    <s v="Dr. Meena"/>
    <d v="2025-03-21T00:00:00"/>
    <d v="2025-04-10T00:00:00"/>
    <n v="226432"/>
    <s v="Corporate"/>
    <s v="UPI"/>
    <x v="2"/>
    <s v="Under Treatment"/>
    <n v="4"/>
    <m/>
    <m/>
    <m/>
    <m/>
    <m/>
    <m/>
    <m/>
    <m/>
    <m/>
    <n v="3"/>
    <m/>
    <m/>
    <m/>
    <x v="9"/>
  </r>
  <r>
    <s v="P0389"/>
    <n v="53"/>
    <s v="Male"/>
    <s v="Respiratory"/>
    <s v="Oncology"/>
    <s v="Dr. Meena"/>
    <d v="2025-07-26T00:00:00"/>
    <d v="2025-08-14T00:00:00"/>
    <n v="205134"/>
    <s v="Government"/>
    <s v="Card"/>
    <x v="0"/>
    <s v="Recovered"/>
    <n v="3"/>
    <m/>
    <m/>
    <m/>
    <m/>
    <m/>
    <m/>
    <m/>
    <m/>
    <m/>
    <n v="7"/>
    <m/>
    <m/>
    <m/>
    <x v="7"/>
  </r>
  <r>
    <s v="P0390"/>
    <n v="64"/>
    <s v="Male"/>
    <s v="Neurological"/>
    <s v="Oncology"/>
    <s v="Dr. Priya"/>
    <d v="2024-03-20T00:00:00"/>
    <d v="2024-03-29T00:00:00"/>
    <n v="131405"/>
    <s v="None"/>
    <s v="Cash"/>
    <x v="4"/>
    <s v="Under Treatment"/>
    <n v="3"/>
    <m/>
    <m/>
    <m/>
    <m/>
    <m/>
    <m/>
    <m/>
    <m/>
    <m/>
    <n v="3"/>
    <m/>
    <m/>
    <m/>
    <x v="9"/>
  </r>
  <r>
    <s v="P0391"/>
    <n v="41"/>
    <s v="Male"/>
    <s v="Neurological"/>
    <s v="General Medicine"/>
    <s v="Dr. Kumar"/>
    <d v="2024-02-07T00:00:00"/>
    <d v="2024-02-15T00:00:00"/>
    <n v="185804"/>
    <s v="Government"/>
    <s v="Card"/>
    <x v="4"/>
    <s v="Recovered"/>
    <n v="4"/>
    <m/>
    <m/>
    <m/>
    <m/>
    <m/>
    <m/>
    <m/>
    <m/>
    <m/>
    <n v="2"/>
    <m/>
    <m/>
    <m/>
    <x v="3"/>
  </r>
  <r>
    <s v="P0392"/>
    <n v="55"/>
    <s v="Female"/>
    <s v="Cardiac"/>
    <s v="Neurology"/>
    <s v="Dr. Meena"/>
    <d v="2024-05-05T00:00:00"/>
    <d v="2024-05-10T00:00:00"/>
    <n v="78331"/>
    <s v="Private"/>
    <s v="Cash"/>
    <x v="1"/>
    <s v="Follow-up"/>
    <n v="1"/>
    <m/>
    <m/>
    <m/>
    <m/>
    <m/>
    <m/>
    <m/>
    <m/>
    <m/>
    <n v="5"/>
    <m/>
    <m/>
    <m/>
    <x v="5"/>
  </r>
  <r>
    <s v="P0393"/>
    <n v="61"/>
    <s v="Male"/>
    <s v="Respiratory"/>
    <s v="Neurology"/>
    <s v="Dr. Arun"/>
    <d v="2024-05-05T00:00:00"/>
    <d v="2024-05-14T00:00:00"/>
    <n v="208867"/>
    <s v="None"/>
    <s v="UPI"/>
    <x v="3"/>
    <s v="Follow-up"/>
    <n v="2"/>
    <m/>
    <m/>
    <m/>
    <m/>
    <m/>
    <m/>
    <m/>
    <m/>
    <m/>
    <n v="5"/>
    <m/>
    <m/>
    <m/>
    <x v="5"/>
  </r>
  <r>
    <s v="P0394"/>
    <n v="49"/>
    <s v="Male"/>
    <s v="Respiratory"/>
    <s v="Cardiology"/>
    <s v="Dr. Meena"/>
    <d v="2024-03-10T00:00:00"/>
    <d v="2024-03-27T00:00:00"/>
    <n v="136562"/>
    <s v="Government"/>
    <s v="Insurance Claim"/>
    <x v="4"/>
    <s v="Follow-up"/>
    <n v="5"/>
    <m/>
    <m/>
    <m/>
    <m/>
    <m/>
    <m/>
    <m/>
    <m/>
    <m/>
    <n v="3"/>
    <m/>
    <m/>
    <m/>
    <x v="9"/>
  </r>
  <r>
    <s v="P0395"/>
    <n v="71"/>
    <s v="Female"/>
    <s v="Cancer"/>
    <s v="Cardiology"/>
    <s v="Dr. Meena"/>
    <d v="2024-07-15T00:00:00"/>
    <d v="2024-07-26T00:00:00"/>
    <n v="98177"/>
    <s v="Government"/>
    <s v="Insurance Claim"/>
    <x v="4"/>
    <s v="Follow-up"/>
    <n v="5"/>
    <m/>
    <m/>
    <m/>
    <m/>
    <m/>
    <m/>
    <m/>
    <m/>
    <m/>
    <n v="7"/>
    <m/>
    <m/>
    <m/>
    <x v="7"/>
  </r>
  <r>
    <s v="P0396"/>
    <n v="35"/>
    <s v="Female"/>
    <s v="Cancer"/>
    <s v="Pulmonology"/>
    <s v="Dr. Arun"/>
    <d v="2024-12-30T00:00:00"/>
    <d v="2025-01-17T00:00:00"/>
    <n v="236653"/>
    <s v="None"/>
    <s v="UPI"/>
    <x v="1"/>
    <s v="Under Treatment"/>
    <n v="2"/>
    <m/>
    <m/>
    <m/>
    <m/>
    <m/>
    <m/>
    <m/>
    <m/>
    <m/>
    <n v="12"/>
    <m/>
    <m/>
    <m/>
    <x v="2"/>
  </r>
  <r>
    <s v="P0397"/>
    <n v="30"/>
    <s v="Female"/>
    <s v="Diabetes"/>
    <s v="Orthopedics"/>
    <s v="Dr. Kumar"/>
    <d v="2025-10-25T00:00:00"/>
    <d v="2025-11-14T00:00:00"/>
    <n v="81870"/>
    <s v="Corporate"/>
    <s v="Cash"/>
    <x v="2"/>
    <s v="Follow-up"/>
    <n v="1"/>
    <m/>
    <m/>
    <m/>
    <m/>
    <m/>
    <m/>
    <m/>
    <m/>
    <m/>
    <n v="10"/>
    <m/>
    <m/>
    <m/>
    <x v="8"/>
  </r>
  <r>
    <s v="P0398"/>
    <n v="57"/>
    <s v="Male"/>
    <s v="Diabetes"/>
    <s v="General Medicine"/>
    <s v="Dr. Kumar"/>
    <d v="2025-04-20T00:00:00"/>
    <d v="2025-05-02T00:00:00"/>
    <n v="8388"/>
    <s v="None"/>
    <s v="Card"/>
    <x v="2"/>
    <s v="Under Treatment"/>
    <n v="4"/>
    <m/>
    <m/>
    <m/>
    <m/>
    <m/>
    <m/>
    <m/>
    <m/>
    <m/>
    <n v="4"/>
    <m/>
    <m/>
    <m/>
    <x v="0"/>
  </r>
  <r>
    <s v="P0399"/>
    <n v="23"/>
    <s v="Female"/>
    <s v="Orthopedic"/>
    <s v="Pulmonology"/>
    <s v="Dr. Priya"/>
    <d v="2024-04-10T00:00:00"/>
    <d v="2024-04-15T00:00:00"/>
    <n v="220828"/>
    <s v="Private"/>
    <s v="Insurance Claim"/>
    <x v="1"/>
    <s v="Under Treatment"/>
    <n v="2"/>
    <m/>
    <m/>
    <m/>
    <m/>
    <m/>
    <m/>
    <m/>
    <m/>
    <m/>
    <n v="4"/>
    <m/>
    <m/>
    <m/>
    <x v="0"/>
  </r>
  <r>
    <s v="P0400"/>
    <n v="66"/>
    <s v="Male"/>
    <s v="Infection"/>
    <s v="Cardiology"/>
    <s v="Dr. Meena"/>
    <d v="2025-12-14T00:00:00"/>
    <d v="2026-01-01T00:00:00"/>
    <n v="69462"/>
    <s v="None"/>
    <s v="Card"/>
    <x v="2"/>
    <s v="Follow-up"/>
    <n v="5"/>
    <m/>
    <m/>
    <m/>
    <m/>
    <m/>
    <m/>
    <m/>
    <m/>
    <m/>
    <n v="12"/>
    <m/>
    <m/>
    <m/>
    <x v="2"/>
  </r>
  <r>
    <s v="P0401"/>
    <n v="78"/>
    <s v="Female"/>
    <s v="Orthopedic"/>
    <s v="Cardiology"/>
    <s v="Dr. Kumar"/>
    <d v="2025-09-17T00:00:00"/>
    <d v="2025-10-01T00:00:00"/>
    <n v="78328"/>
    <s v="Private"/>
    <s v="Insurance Claim"/>
    <x v="4"/>
    <s v="Follow-up"/>
    <n v="3"/>
    <m/>
    <m/>
    <m/>
    <m/>
    <m/>
    <m/>
    <m/>
    <m/>
    <m/>
    <n v="9"/>
    <m/>
    <m/>
    <m/>
    <x v="1"/>
  </r>
  <r>
    <s v="P0402"/>
    <n v="51"/>
    <s v="Female"/>
    <s v="Diabetes"/>
    <s v="Oncology"/>
    <s v="Dr. Kumar"/>
    <d v="2025-05-30T00:00:00"/>
    <d v="2025-06-10T00:00:00"/>
    <n v="130467"/>
    <s v="Private"/>
    <s v="Cash"/>
    <x v="1"/>
    <s v="Follow-up"/>
    <n v="5"/>
    <m/>
    <m/>
    <m/>
    <m/>
    <m/>
    <m/>
    <m/>
    <m/>
    <m/>
    <n v="5"/>
    <m/>
    <m/>
    <m/>
    <x v="5"/>
  </r>
  <r>
    <s v="P0403"/>
    <n v="59"/>
    <s v="Male"/>
    <s v="Cardiac"/>
    <s v="Neurology"/>
    <s v="Dr. Kumar"/>
    <d v="2025-01-26T00:00:00"/>
    <d v="2025-02-08T00:00:00"/>
    <n v="121046"/>
    <s v="Private"/>
    <s v="UPI"/>
    <x v="4"/>
    <s v="Follow-up"/>
    <n v="1"/>
    <m/>
    <m/>
    <m/>
    <m/>
    <m/>
    <m/>
    <m/>
    <m/>
    <m/>
    <n v="1"/>
    <m/>
    <m/>
    <m/>
    <x v="4"/>
  </r>
  <r>
    <s v="P0404"/>
    <n v="19"/>
    <s v="Male"/>
    <s v="Orthopedic"/>
    <s v="Oncology"/>
    <s v="Dr. Meena"/>
    <d v="2025-09-15T00:00:00"/>
    <d v="2025-09-25T00:00:00"/>
    <n v="97743"/>
    <s v="Private"/>
    <s v="Insurance Claim"/>
    <x v="2"/>
    <s v="Recovered"/>
    <n v="5"/>
    <m/>
    <m/>
    <m/>
    <m/>
    <m/>
    <m/>
    <m/>
    <m/>
    <m/>
    <n v="9"/>
    <m/>
    <m/>
    <m/>
    <x v="1"/>
  </r>
  <r>
    <s v="P0405"/>
    <n v="54"/>
    <s v="Male"/>
    <s v="Cancer"/>
    <s v="Pulmonology"/>
    <s v="Dr. Raj"/>
    <d v="2025-08-24T00:00:00"/>
    <d v="2025-09-13T00:00:00"/>
    <n v="218787"/>
    <s v="Private"/>
    <s v="Card"/>
    <x v="1"/>
    <s v="Follow-up"/>
    <n v="5"/>
    <m/>
    <m/>
    <m/>
    <m/>
    <m/>
    <m/>
    <m/>
    <m/>
    <m/>
    <n v="8"/>
    <m/>
    <m/>
    <m/>
    <x v="10"/>
  </r>
  <r>
    <s v="P0406"/>
    <n v="34"/>
    <s v="Female"/>
    <s v="Neurological"/>
    <s v="General Medicine"/>
    <s v="Dr. Kumar"/>
    <d v="2024-11-12T00:00:00"/>
    <d v="2024-11-24T00:00:00"/>
    <n v="176285"/>
    <s v="Government"/>
    <s v="UPI"/>
    <x v="2"/>
    <s v="Under Treatment"/>
    <n v="4"/>
    <m/>
    <m/>
    <m/>
    <m/>
    <m/>
    <m/>
    <m/>
    <m/>
    <m/>
    <n v="11"/>
    <m/>
    <m/>
    <m/>
    <x v="6"/>
  </r>
  <r>
    <s v="P0407"/>
    <n v="18"/>
    <s v="Male"/>
    <s v="Diabetes"/>
    <s v="Pulmonology"/>
    <s v="Dr. Kumar"/>
    <d v="2025-10-31T00:00:00"/>
    <d v="2025-11-06T00:00:00"/>
    <n v="248790"/>
    <s v="None"/>
    <s v="Insurance Claim"/>
    <x v="2"/>
    <s v="Under Treatment"/>
    <n v="2"/>
    <m/>
    <m/>
    <m/>
    <m/>
    <m/>
    <m/>
    <m/>
    <m/>
    <m/>
    <n v="10"/>
    <m/>
    <m/>
    <m/>
    <x v="8"/>
  </r>
  <r>
    <s v="P0408"/>
    <n v="57"/>
    <s v="Female"/>
    <s v="Neurological"/>
    <s v="General Medicine"/>
    <s v="Dr. Raj"/>
    <d v="2024-04-04T00:00:00"/>
    <d v="2024-04-06T00:00:00"/>
    <n v="135622"/>
    <s v="None"/>
    <s v="Insurance Claim"/>
    <x v="1"/>
    <s v="Follow-up"/>
    <n v="5"/>
    <m/>
    <m/>
    <m/>
    <m/>
    <m/>
    <m/>
    <m/>
    <m/>
    <m/>
    <n v="4"/>
    <m/>
    <m/>
    <m/>
    <x v="0"/>
  </r>
  <r>
    <s v="P0409"/>
    <n v="80"/>
    <s v="Male"/>
    <s v="Neurological"/>
    <s v="General Medicine"/>
    <s v="Dr. Arun"/>
    <d v="2024-09-30T00:00:00"/>
    <d v="2024-10-16T00:00:00"/>
    <n v="188957"/>
    <s v="None"/>
    <s v="Cash"/>
    <x v="3"/>
    <s v="Recovered"/>
    <n v="2"/>
    <m/>
    <m/>
    <m/>
    <m/>
    <m/>
    <m/>
    <m/>
    <m/>
    <m/>
    <n v="9"/>
    <m/>
    <m/>
    <m/>
    <x v="1"/>
  </r>
  <r>
    <s v="P0410"/>
    <n v="78"/>
    <s v="Male"/>
    <s v="Respiratory"/>
    <s v="General Medicine"/>
    <s v="Dr. Raj"/>
    <d v="2025-09-23T00:00:00"/>
    <d v="2025-09-30T00:00:00"/>
    <n v="174317"/>
    <s v="Corporate"/>
    <s v="Card"/>
    <x v="4"/>
    <s v="Under Treatment"/>
    <n v="4"/>
    <m/>
    <m/>
    <m/>
    <m/>
    <m/>
    <m/>
    <m/>
    <m/>
    <m/>
    <n v="9"/>
    <m/>
    <m/>
    <m/>
    <x v="1"/>
  </r>
  <r>
    <s v="P0411"/>
    <n v="84"/>
    <s v="Male"/>
    <s v="Cancer"/>
    <s v="Oncology"/>
    <s v="Dr. Kumar"/>
    <d v="2024-08-16T00:00:00"/>
    <d v="2024-08-20T00:00:00"/>
    <n v="60696"/>
    <s v="Corporate"/>
    <s v="Insurance Claim"/>
    <x v="0"/>
    <s v="Follow-up"/>
    <n v="2"/>
    <m/>
    <m/>
    <m/>
    <m/>
    <m/>
    <m/>
    <m/>
    <m/>
    <m/>
    <n v="8"/>
    <m/>
    <m/>
    <m/>
    <x v="10"/>
  </r>
  <r>
    <s v="P0412"/>
    <n v="74"/>
    <s v="Female"/>
    <s v="Infection"/>
    <s v="Orthopedics"/>
    <s v="Dr. Priya"/>
    <d v="2025-06-24T00:00:00"/>
    <d v="2025-07-11T00:00:00"/>
    <n v="139102"/>
    <s v="None"/>
    <s v="Insurance Claim"/>
    <x v="2"/>
    <s v="Follow-up"/>
    <n v="2"/>
    <m/>
    <m/>
    <m/>
    <m/>
    <m/>
    <m/>
    <m/>
    <m/>
    <m/>
    <n v="6"/>
    <m/>
    <m/>
    <m/>
    <x v="11"/>
  </r>
  <r>
    <s v="P0413"/>
    <n v="80"/>
    <s v="Male"/>
    <s v="Infection"/>
    <s v="Cardiology"/>
    <s v="Dr. Arun"/>
    <d v="2024-08-29T00:00:00"/>
    <d v="2024-09-15T00:00:00"/>
    <n v="227613"/>
    <s v="Corporate"/>
    <s v="Card"/>
    <x v="1"/>
    <s v="Recovered"/>
    <n v="3"/>
    <m/>
    <m/>
    <m/>
    <m/>
    <m/>
    <m/>
    <m/>
    <m/>
    <m/>
    <n v="8"/>
    <m/>
    <m/>
    <m/>
    <x v="10"/>
  </r>
  <r>
    <s v="P0414"/>
    <n v="68"/>
    <s v="Male"/>
    <s v="Neurological"/>
    <s v="Orthopedics"/>
    <s v="Dr. Raj"/>
    <d v="2024-12-18T00:00:00"/>
    <d v="2025-01-01T00:00:00"/>
    <n v="172946"/>
    <s v="None"/>
    <s v="Cash"/>
    <x v="0"/>
    <s v="Under Treatment"/>
    <n v="3"/>
    <m/>
    <m/>
    <m/>
    <m/>
    <m/>
    <m/>
    <m/>
    <m/>
    <m/>
    <n v="12"/>
    <m/>
    <m/>
    <m/>
    <x v="2"/>
  </r>
  <r>
    <s v="P0415"/>
    <n v="82"/>
    <s v="Male"/>
    <s v="Respiratory"/>
    <s v="Pulmonology"/>
    <s v="Dr. Raj"/>
    <d v="2025-02-16T00:00:00"/>
    <d v="2025-03-08T00:00:00"/>
    <n v="52035"/>
    <s v="Private"/>
    <s v="UPI"/>
    <x v="1"/>
    <s v="Under Treatment"/>
    <n v="5"/>
    <m/>
    <m/>
    <m/>
    <m/>
    <m/>
    <m/>
    <m/>
    <m/>
    <m/>
    <n v="2"/>
    <m/>
    <m/>
    <m/>
    <x v="3"/>
  </r>
  <r>
    <s v="P0416"/>
    <n v="65"/>
    <s v="Male"/>
    <s v="Respiratory"/>
    <s v="Pulmonology"/>
    <s v="Dr. Arun"/>
    <d v="2025-10-30T00:00:00"/>
    <d v="2025-11-19T00:00:00"/>
    <n v="74029"/>
    <s v="Government"/>
    <s v="Insurance Claim"/>
    <x v="2"/>
    <s v="Recovered"/>
    <n v="4"/>
    <m/>
    <m/>
    <m/>
    <m/>
    <m/>
    <m/>
    <m/>
    <m/>
    <m/>
    <n v="10"/>
    <m/>
    <m/>
    <m/>
    <x v="8"/>
  </r>
  <r>
    <s v="P0417"/>
    <n v="77"/>
    <s v="Male"/>
    <s v="Cardiac"/>
    <s v="Pulmonology"/>
    <s v="Dr. Arun"/>
    <d v="2024-07-05T00:00:00"/>
    <d v="2024-07-16T00:00:00"/>
    <n v="232263"/>
    <s v="None"/>
    <s v="UPI"/>
    <x v="0"/>
    <s v="Recovered"/>
    <n v="4"/>
    <m/>
    <m/>
    <m/>
    <m/>
    <m/>
    <m/>
    <m/>
    <m/>
    <m/>
    <n v="7"/>
    <m/>
    <m/>
    <m/>
    <x v="7"/>
  </r>
  <r>
    <s v="P0418"/>
    <n v="20"/>
    <s v="Male"/>
    <s v="Respiratory"/>
    <s v="Oncology"/>
    <s v="Dr. Kumar"/>
    <d v="2024-11-11T00:00:00"/>
    <d v="2024-11-19T00:00:00"/>
    <n v="122994"/>
    <s v="Government"/>
    <s v="Insurance Claim"/>
    <x v="2"/>
    <s v="Recovered"/>
    <n v="4"/>
    <m/>
    <m/>
    <m/>
    <m/>
    <m/>
    <m/>
    <m/>
    <m/>
    <m/>
    <n v="11"/>
    <m/>
    <m/>
    <m/>
    <x v="6"/>
  </r>
  <r>
    <s v="P0419"/>
    <n v="19"/>
    <s v="Male"/>
    <s v="Orthopedic"/>
    <s v="General Medicine"/>
    <s v="Dr. Priya"/>
    <d v="2024-10-10T00:00:00"/>
    <d v="2024-10-19T00:00:00"/>
    <n v="101700"/>
    <s v="Private"/>
    <s v="Cash"/>
    <x v="2"/>
    <s v="Under Treatment"/>
    <n v="5"/>
    <m/>
    <m/>
    <m/>
    <m/>
    <m/>
    <m/>
    <m/>
    <m/>
    <m/>
    <n v="10"/>
    <m/>
    <m/>
    <m/>
    <x v="8"/>
  </r>
  <r>
    <s v="P0420"/>
    <n v="69"/>
    <s v="Male"/>
    <s v="Infection"/>
    <s v="Orthopedics"/>
    <s v="Dr. Arun"/>
    <d v="2025-08-22T00:00:00"/>
    <d v="2025-08-29T00:00:00"/>
    <n v="75322"/>
    <s v="Government"/>
    <s v="UPI"/>
    <x v="1"/>
    <s v="Follow-up"/>
    <n v="5"/>
    <m/>
    <m/>
    <m/>
    <m/>
    <m/>
    <m/>
    <m/>
    <m/>
    <m/>
    <n v="8"/>
    <m/>
    <m/>
    <m/>
    <x v="10"/>
  </r>
  <r>
    <s v="P0421"/>
    <n v="32"/>
    <s v="Female"/>
    <s v="Infection"/>
    <s v="Oncology"/>
    <s v="Dr. Priya"/>
    <d v="2025-02-25T00:00:00"/>
    <d v="2025-02-26T00:00:00"/>
    <n v="168088"/>
    <s v="Private"/>
    <s v="Cash"/>
    <x v="1"/>
    <s v="Follow-up"/>
    <n v="4"/>
    <m/>
    <m/>
    <m/>
    <m/>
    <m/>
    <m/>
    <m/>
    <m/>
    <m/>
    <n v="2"/>
    <m/>
    <m/>
    <m/>
    <x v="3"/>
  </r>
  <r>
    <s v="P0422"/>
    <n v="21"/>
    <s v="Female"/>
    <s v="Cardiac"/>
    <s v="Orthopedics"/>
    <s v="Dr. Arun"/>
    <d v="2024-08-16T00:00:00"/>
    <d v="2024-09-04T00:00:00"/>
    <n v="152143"/>
    <s v="Corporate"/>
    <s v="Insurance Claim"/>
    <x v="3"/>
    <s v="Recovered"/>
    <n v="5"/>
    <m/>
    <m/>
    <m/>
    <m/>
    <m/>
    <m/>
    <m/>
    <m/>
    <m/>
    <n v="8"/>
    <m/>
    <m/>
    <m/>
    <x v="10"/>
  </r>
  <r>
    <s v="P0423"/>
    <n v="24"/>
    <s v="Female"/>
    <s v="Neurological"/>
    <s v="Cardiology"/>
    <s v="Dr. Kumar"/>
    <d v="2025-10-16T00:00:00"/>
    <d v="2025-10-22T00:00:00"/>
    <n v="92737"/>
    <s v="None"/>
    <s v="UPI"/>
    <x v="3"/>
    <s v="Recovered"/>
    <n v="4"/>
    <m/>
    <m/>
    <m/>
    <m/>
    <m/>
    <m/>
    <m/>
    <m/>
    <m/>
    <n v="10"/>
    <m/>
    <m/>
    <m/>
    <x v="8"/>
  </r>
  <r>
    <s v="P0424"/>
    <n v="71"/>
    <s v="Male"/>
    <s v="Respiratory"/>
    <s v="Cardiology"/>
    <s v="Dr. Raj"/>
    <d v="2024-11-04T00:00:00"/>
    <d v="2024-11-19T00:00:00"/>
    <n v="68474"/>
    <s v="Government"/>
    <s v="Insurance Claim"/>
    <x v="4"/>
    <s v="Recovered"/>
    <n v="4"/>
    <m/>
    <m/>
    <m/>
    <m/>
    <m/>
    <m/>
    <m/>
    <m/>
    <m/>
    <n v="11"/>
    <m/>
    <m/>
    <m/>
    <x v="6"/>
  </r>
  <r>
    <s v="P0425"/>
    <n v="60"/>
    <s v="Male"/>
    <s v="Respiratory"/>
    <s v="Cardiology"/>
    <s v="Dr. Priya"/>
    <d v="2024-09-19T00:00:00"/>
    <d v="2024-10-04T00:00:00"/>
    <n v="216884"/>
    <s v="Corporate"/>
    <s v="Insurance Claim"/>
    <x v="0"/>
    <s v="Recovered"/>
    <n v="3"/>
    <m/>
    <m/>
    <m/>
    <m/>
    <m/>
    <m/>
    <m/>
    <m/>
    <m/>
    <n v="9"/>
    <m/>
    <m/>
    <m/>
    <x v="1"/>
  </r>
  <r>
    <s v="P0426"/>
    <n v="61"/>
    <s v="Female"/>
    <s v="Cardiac"/>
    <s v="Orthopedics"/>
    <s v="Dr. Priya"/>
    <d v="2024-02-27T00:00:00"/>
    <d v="2024-03-10T00:00:00"/>
    <n v="28269"/>
    <s v="Government"/>
    <s v="Cash"/>
    <x v="1"/>
    <s v="Under Treatment"/>
    <n v="3"/>
    <m/>
    <m/>
    <m/>
    <m/>
    <m/>
    <m/>
    <m/>
    <m/>
    <m/>
    <n v="2"/>
    <m/>
    <m/>
    <m/>
    <x v="3"/>
  </r>
  <r>
    <s v="P0427"/>
    <n v="62"/>
    <s v="Male"/>
    <s v="Cancer"/>
    <s v="Oncology"/>
    <s v="Dr. Kumar"/>
    <d v="2025-11-11T00:00:00"/>
    <d v="2025-11-28T00:00:00"/>
    <n v="169563"/>
    <s v="Government"/>
    <s v="Insurance Claim"/>
    <x v="3"/>
    <s v="Recovered"/>
    <n v="2"/>
    <m/>
    <m/>
    <m/>
    <m/>
    <m/>
    <m/>
    <m/>
    <m/>
    <m/>
    <n v="11"/>
    <m/>
    <m/>
    <m/>
    <x v="6"/>
  </r>
  <r>
    <s v="P0428"/>
    <n v="76"/>
    <s v="Male"/>
    <s v="Cancer"/>
    <s v="Orthopedics"/>
    <s v="Dr. Meena"/>
    <d v="2024-02-06T00:00:00"/>
    <d v="2024-02-24T00:00:00"/>
    <n v="36754"/>
    <s v="None"/>
    <s v="Cash"/>
    <x v="2"/>
    <s v="Under Treatment"/>
    <n v="3"/>
    <m/>
    <m/>
    <m/>
    <m/>
    <m/>
    <m/>
    <m/>
    <m/>
    <m/>
    <n v="2"/>
    <m/>
    <m/>
    <m/>
    <x v="3"/>
  </r>
  <r>
    <s v="P0429"/>
    <n v="61"/>
    <s v="Male"/>
    <s v="Respiratory"/>
    <s v="Orthopedics"/>
    <s v="Dr. Priya"/>
    <d v="2024-07-02T00:00:00"/>
    <d v="2024-07-16T00:00:00"/>
    <n v="59236"/>
    <s v="Corporate"/>
    <s v="Insurance Claim"/>
    <x v="4"/>
    <s v="Under Treatment"/>
    <n v="4"/>
    <m/>
    <m/>
    <m/>
    <m/>
    <m/>
    <m/>
    <m/>
    <m/>
    <m/>
    <n v="7"/>
    <m/>
    <m/>
    <m/>
    <x v="7"/>
  </r>
  <r>
    <s v="P0430"/>
    <n v="48"/>
    <s v="Male"/>
    <s v="Cardiac"/>
    <s v="Oncology"/>
    <s v="Dr. Kumar"/>
    <d v="2024-10-21T00:00:00"/>
    <d v="2024-11-06T00:00:00"/>
    <n v="198584"/>
    <s v="Private"/>
    <s v="Card"/>
    <x v="4"/>
    <s v="Follow-up"/>
    <n v="5"/>
    <m/>
    <m/>
    <m/>
    <m/>
    <m/>
    <m/>
    <m/>
    <m/>
    <m/>
    <n v="10"/>
    <m/>
    <m/>
    <m/>
    <x v="8"/>
  </r>
  <r>
    <s v="P0431"/>
    <n v="73"/>
    <s v="Female"/>
    <s v="Infection"/>
    <s v="Oncology"/>
    <s v="Dr. Arun"/>
    <d v="2025-12-10T00:00:00"/>
    <d v="2025-12-25T00:00:00"/>
    <n v="116892"/>
    <s v="Government"/>
    <s v="Card"/>
    <x v="4"/>
    <s v="Follow-up"/>
    <n v="3"/>
    <m/>
    <m/>
    <m/>
    <m/>
    <m/>
    <m/>
    <m/>
    <m/>
    <m/>
    <n v="12"/>
    <m/>
    <m/>
    <m/>
    <x v="2"/>
  </r>
  <r>
    <s v="P0432"/>
    <n v="45"/>
    <s v="Female"/>
    <s v="Diabetes"/>
    <s v="Oncology"/>
    <s v="Dr. Meena"/>
    <d v="2025-06-11T00:00:00"/>
    <d v="2025-07-01T00:00:00"/>
    <n v="230037"/>
    <s v="None"/>
    <s v="UPI"/>
    <x v="1"/>
    <s v="Under Treatment"/>
    <n v="1"/>
    <m/>
    <m/>
    <m/>
    <m/>
    <m/>
    <m/>
    <m/>
    <m/>
    <m/>
    <n v="6"/>
    <m/>
    <m/>
    <m/>
    <x v="11"/>
  </r>
  <r>
    <s v="P0433"/>
    <n v="18"/>
    <s v="Female"/>
    <s v="Infection"/>
    <s v="Neurology"/>
    <s v="Dr. Meena"/>
    <d v="2024-12-28T00:00:00"/>
    <d v="2025-01-01T00:00:00"/>
    <n v="204214"/>
    <s v="Private"/>
    <s v="UPI"/>
    <x v="0"/>
    <s v="Follow-up"/>
    <n v="4"/>
    <m/>
    <m/>
    <m/>
    <m/>
    <m/>
    <m/>
    <m/>
    <m/>
    <m/>
    <n v="12"/>
    <m/>
    <m/>
    <m/>
    <x v="2"/>
  </r>
  <r>
    <s v="P0434"/>
    <n v="59"/>
    <s v="Female"/>
    <s v="Neurological"/>
    <s v="Neurology"/>
    <s v="Dr. Priya"/>
    <d v="2025-12-16T00:00:00"/>
    <d v="2025-12-24T00:00:00"/>
    <n v="157286"/>
    <s v="Corporate"/>
    <s v="Cash"/>
    <x v="0"/>
    <s v="Under Treatment"/>
    <n v="1"/>
    <m/>
    <m/>
    <m/>
    <m/>
    <m/>
    <m/>
    <m/>
    <m/>
    <m/>
    <n v="12"/>
    <m/>
    <m/>
    <m/>
    <x v="2"/>
  </r>
  <r>
    <s v="P0435"/>
    <n v="65"/>
    <s v="Male"/>
    <s v="Respiratory"/>
    <s v="General Medicine"/>
    <s v="Dr. Arun"/>
    <d v="2024-09-07T00:00:00"/>
    <d v="2024-09-16T00:00:00"/>
    <n v="148083"/>
    <s v="Corporate"/>
    <s v="Insurance Claim"/>
    <x v="3"/>
    <s v="Under Treatment"/>
    <n v="1"/>
    <m/>
    <m/>
    <m/>
    <m/>
    <m/>
    <m/>
    <m/>
    <m/>
    <m/>
    <n v="9"/>
    <m/>
    <m/>
    <m/>
    <x v="1"/>
  </r>
  <r>
    <s v="P0436"/>
    <n v="83"/>
    <s v="Male"/>
    <s v="Cancer"/>
    <s v="Oncology"/>
    <s v="Dr. Kumar"/>
    <d v="2024-06-07T00:00:00"/>
    <d v="2024-06-12T00:00:00"/>
    <n v="120219"/>
    <s v="Private"/>
    <s v="Card"/>
    <x v="3"/>
    <s v="Follow-up"/>
    <n v="3"/>
    <m/>
    <m/>
    <m/>
    <m/>
    <m/>
    <m/>
    <m/>
    <m/>
    <m/>
    <n v="6"/>
    <m/>
    <m/>
    <m/>
    <x v="11"/>
  </r>
  <r>
    <s v="P0437"/>
    <n v="28"/>
    <s v="Female"/>
    <s v="Neurological"/>
    <s v="Orthopedics"/>
    <s v="Dr. Raj"/>
    <d v="2025-01-04T00:00:00"/>
    <d v="2025-01-18T00:00:00"/>
    <n v="147131"/>
    <s v="Private"/>
    <s v="Insurance Claim"/>
    <x v="1"/>
    <s v="Recovered"/>
    <n v="3"/>
    <m/>
    <m/>
    <m/>
    <m/>
    <m/>
    <m/>
    <m/>
    <m/>
    <m/>
    <n v="1"/>
    <m/>
    <m/>
    <m/>
    <x v="4"/>
  </r>
  <r>
    <s v="P0438"/>
    <n v="51"/>
    <s v="Female"/>
    <s v="Neurological"/>
    <s v="Oncology"/>
    <s v="Dr. Arun"/>
    <d v="2025-02-13T00:00:00"/>
    <d v="2025-02-17T00:00:00"/>
    <n v="202543"/>
    <s v="Government"/>
    <s v="Card"/>
    <x v="1"/>
    <s v="Recovered"/>
    <n v="2"/>
    <m/>
    <m/>
    <m/>
    <m/>
    <m/>
    <m/>
    <m/>
    <m/>
    <m/>
    <n v="2"/>
    <m/>
    <m/>
    <m/>
    <x v="3"/>
  </r>
  <r>
    <s v="P0439"/>
    <n v="65"/>
    <s v="Male"/>
    <s v="Diabetes"/>
    <s v="Oncology"/>
    <s v="Dr. Arun"/>
    <d v="2024-07-29T00:00:00"/>
    <d v="2024-08-07T00:00:00"/>
    <n v="221995"/>
    <s v="Private"/>
    <s v="Card"/>
    <x v="1"/>
    <s v="Follow-up"/>
    <n v="2"/>
    <m/>
    <m/>
    <m/>
    <m/>
    <m/>
    <m/>
    <m/>
    <m/>
    <m/>
    <n v="7"/>
    <m/>
    <m/>
    <m/>
    <x v="7"/>
  </r>
  <r>
    <s v="P0440"/>
    <n v="68"/>
    <s v="Male"/>
    <s v="Respiratory"/>
    <s v="Orthopedics"/>
    <s v="Dr. Raj"/>
    <d v="2024-07-22T00:00:00"/>
    <d v="2024-07-31T00:00:00"/>
    <n v="200615"/>
    <s v="Private"/>
    <s v="UPI"/>
    <x v="2"/>
    <s v="Under Treatment"/>
    <n v="3"/>
    <m/>
    <m/>
    <m/>
    <m/>
    <m/>
    <m/>
    <m/>
    <m/>
    <m/>
    <n v="7"/>
    <m/>
    <m/>
    <m/>
    <x v="7"/>
  </r>
  <r>
    <s v="P0441"/>
    <n v="40"/>
    <s v="Female"/>
    <s v="Diabetes"/>
    <s v="Oncology"/>
    <s v="Dr. Raj"/>
    <d v="2024-03-18T00:00:00"/>
    <d v="2024-04-03T00:00:00"/>
    <n v="168361"/>
    <s v="Government"/>
    <s v="Insurance Claim"/>
    <x v="0"/>
    <s v="Under Treatment"/>
    <n v="2"/>
    <m/>
    <m/>
    <m/>
    <m/>
    <m/>
    <m/>
    <m/>
    <m/>
    <m/>
    <n v="3"/>
    <m/>
    <m/>
    <m/>
    <x v="9"/>
  </r>
  <r>
    <s v="P0442"/>
    <n v="75"/>
    <s v="Female"/>
    <s v="Neurological"/>
    <s v="Pulmonology"/>
    <s v="Dr. Raj"/>
    <d v="2025-12-21T00:00:00"/>
    <d v="2025-12-31T00:00:00"/>
    <n v="36652"/>
    <s v="Private"/>
    <s v="UPI"/>
    <x v="3"/>
    <s v="Under Treatment"/>
    <n v="1"/>
    <m/>
    <m/>
    <m/>
    <m/>
    <m/>
    <m/>
    <m/>
    <m/>
    <m/>
    <n v="12"/>
    <m/>
    <m/>
    <m/>
    <x v="2"/>
  </r>
  <r>
    <s v="P0443"/>
    <n v="48"/>
    <s v="Male"/>
    <s v="Diabetes"/>
    <s v="Orthopedics"/>
    <s v="Dr. Priya"/>
    <d v="2025-02-10T00:00:00"/>
    <d v="2025-03-02T00:00:00"/>
    <n v="21888"/>
    <s v="Corporate"/>
    <s v="Card"/>
    <x v="4"/>
    <s v="Recovered"/>
    <n v="2"/>
    <m/>
    <m/>
    <m/>
    <m/>
    <m/>
    <m/>
    <m/>
    <m/>
    <m/>
    <n v="2"/>
    <m/>
    <m/>
    <m/>
    <x v="3"/>
  </r>
  <r>
    <s v="P0444"/>
    <n v="84"/>
    <s v="Female"/>
    <s v="Respiratory"/>
    <s v="Pulmonology"/>
    <s v="Dr. Kumar"/>
    <d v="2025-09-09T00:00:00"/>
    <d v="2025-09-29T00:00:00"/>
    <n v="156932"/>
    <s v="Corporate"/>
    <s v="Cash"/>
    <x v="3"/>
    <s v="Follow-up"/>
    <n v="2"/>
    <m/>
    <m/>
    <m/>
    <m/>
    <m/>
    <m/>
    <m/>
    <m/>
    <m/>
    <n v="9"/>
    <m/>
    <m/>
    <m/>
    <x v="1"/>
  </r>
  <r>
    <s v="P0445"/>
    <n v="65"/>
    <s v="Male"/>
    <s v="Respiratory"/>
    <s v="Oncology"/>
    <s v="Dr. Kumar"/>
    <d v="2024-08-05T00:00:00"/>
    <d v="2024-08-22T00:00:00"/>
    <n v="203937"/>
    <s v="Government"/>
    <s v="UPI"/>
    <x v="4"/>
    <s v="Under Treatment"/>
    <n v="3"/>
    <m/>
    <m/>
    <m/>
    <m/>
    <m/>
    <m/>
    <m/>
    <m/>
    <m/>
    <n v="8"/>
    <m/>
    <m/>
    <m/>
    <x v="10"/>
  </r>
  <r>
    <s v="P0446"/>
    <n v="67"/>
    <s v="Male"/>
    <s v="Cardiac"/>
    <s v="Orthopedics"/>
    <s v="Dr. Raj"/>
    <d v="2025-03-19T00:00:00"/>
    <d v="2025-03-23T00:00:00"/>
    <n v="106351"/>
    <s v="None"/>
    <s v="Insurance Claim"/>
    <x v="0"/>
    <s v="Follow-up"/>
    <n v="3"/>
    <m/>
    <m/>
    <m/>
    <m/>
    <m/>
    <m/>
    <m/>
    <m/>
    <m/>
    <n v="3"/>
    <m/>
    <m/>
    <m/>
    <x v="9"/>
  </r>
  <r>
    <s v="P0447"/>
    <n v="62"/>
    <s v="Male"/>
    <s v="Infection"/>
    <s v="Oncology"/>
    <s v="Dr. Priya"/>
    <d v="2024-08-31T00:00:00"/>
    <d v="2024-09-15T00:00:00"/>
    <n v="195783"/>
    <s v="Government"/>
    <s v="Card"/>
    <x v="1"/>
    <s v="Recovered"/>
    <n v="4"/>
    <m/>
    <m/>
    <m/>
    <m/>
    <m/>
    <m/>
    <m/>
    <m/>
    <m/>
    <n v="8"/>
    <m/>
    <m/>
    <m/>
    <x v="10"/>
  </r>
  <r>
    <s v="P0448"/>
    <n v="43"/>
    <s v="Male"/>
    <s v="Cancer"/>
    <s v="Oncology"/>
    <s v="Dr. Priya"/>
    <d v="2025-04-13T00:00:00"/>
    <d v="2025-04-18T00:00:00"/>
    <n v="149223"/>
    <s v="None"/>
    <s v="Cash"/>
    <x v="2"/>
    <s v="Recovered"/>
    <n v="4"/>
    <m/>
    <m/>
    <m/>
    <m/>
    <m/>
    <m/>
    <m/>
    <m/>
    <m/>
    <n v="4"/>
    <m/>
    <m/>
    <m/>
    <x v="0"/>
  </r>
  <r>
    <s v="P0449"/>
    <n v="80"/>
    <s v="Male"/>
    <s v="Infection"/>
    <s v="Oncology"/>
    <s v="Dr. Meena"/>
    <d v="2024-04-26T00:00:00"/>
    <d v="2024-05-16T00:00:00"/>
    <n v="227569"/>
    <s v="Corporate"/>
    <s v="UPI"/>
    <x v="2"/>
    <s v="Recovered"/>
    <n v="2"/>
    <m/>
    <m/>
    <m/>
    <m/>
    <m/>
    <m/>
    <m/>
    <m/>
    <m/>
    <n v="4"/>
    <m/>
    <m/>
    <m/>
    <x v="0"/>
  </r>
  <r>
    <s v="P0450"/>
    <n v="41"/>
    <s v="Female"/>
    <s v="Infection"/>
    <s v="Orthopedics"/>
    <s v="Dr. Kumar"/>
    <d v="2025-06-27T00:00:00"/>
    <d v="2025-07-14T00:00:00"/>
    <n v="132434"/>
    <s v="Private"/>
    <s v="Card"/>
    <x v="3"/>
    <s v="Recovered"/>
    <n v="3"/>
    <m/>
    <m/>
    <m/>
    <m/>
    <m/>
    <m/>
    <m/>
    <m/>
    <m/>
    <n v="6"/>
    <m/>
    <m/>
    <m/>
    <x v="11"/>
  </r>
  <r>
    <s v="P0451"/>
    <n v="53"/>
    <s v="Male"/>
    <s v="Cardiac"/>
    <s v="Cardiology"/>
    <s v="Dr. Raj"/>
    <d v="2025-09-02T00:00:00"/>
    <d v="2025-09-06T00:00:00"/>
    <n v="185955"/>
    <s v="Private"/>
    <s v="UPI"/>
    <x v="3"/>
    <s v="Recovered"/>
    <n v="5"/>
    <m/>
    <m/>
    <m/>
    <m/>
    <m/>
    <m/>
    <m/>
    <m/>
    <m/>
    <n v="9"/>
    <m/>
    <m/>
    <m/>
    <x v="1"/>
  </r>
  <r>
    <s v="P0452"/>
    <n v="47"/>
    <s v="Female"/>
    <s v="Infection"/>
    <s v="Oncology"/>
    <s v="Dr. Raj"/>
    <d v="2025-01-16T00:00:00"/>
    <d v="2025-01-21T00:00:00"/>
    <n v="113771"/>
    <s v="Private"/>
    <s v="Insurance Claim"/>
    <x v="0"/>
    <s v="Under Treatment"/>
    <n v="3"/>
    <m/>
    <m/>
    <m/>
    <m/>
    <m/>
    <m/>
    <m/>
    <m/>
    <m/>
    <n v="1"/>
    <m/>
    <m/>
    <m/>
    <x v="4"/>
  </r>
  <r>
    <s v="P0453"/>
    <n v="72"/>
    <s v="Male"/>
    <s v="Infection"/>
    <s v="General Medicine"/>
    <s v="Dr. Raj"/>
    <d v="2024-11-12T00:00:00"/>
    <d v="2024-11-25T00:00:00"/>
    <n v="234906"/>
    <s v="Government"/>
    <s v="Cash"/>
    <x v="3"/>
    <s v="Under Treatment"/>
    <n v="2"/>
    <m/>
    <m/>
    <m/>
    <m/>
    <m/>
    <m/>
    <m/>
    <m/>
    <m/>
    <n v="11"/>
    <m/>
    <m/>
    <m/>
    <x v="6"/>
  </r>
  <r>
    <s v="P0454"/>
    <n v="65"/>
    <s v="Female"/>
    <s v="Cardiac"/>
    <s v="Neurology"/>
    <s v="Dr. Raj"/>
    <d v="2025-12-29T00:00:00"/>
    <d v="2026-01-02T00:00:00"/>
    <n v="116988"/>
    <s v="Private"/>
    <s v="Card"/>
    <x v="3"/>
    <s v="Recovered"/>
    <n v="1"/>
    <m/>
    <m/>
    <m/>
    <m/>
    <m/>
    <m/>
    <m/>
    <m/>
    <m/>
    <n v="12"/>
    <m/>
    <m/>
    <m/>
    <x v="2"/>
  </r>
  <r>
    <s v="P0455"/>
    <n v="45"/>
    <s v="Male"/>
    <s v="Respiratory"/>
    <s v="Cardiology"/>
    <s v="Dr. Priya"/>
    <d v="2024-05-19T00:00:00"/>
    <d v="2024-05-31T00:00:00"/>
    <n v="233944"/>
    <s v="Corporate"/>
    <s v="Cash"/>
    <x v="1"/>
    <s v="Follow-up"/>
    <n v="2"/>
    <m/>
    <m/>
    <m/>
    <m/>
    <m/>
    <m/>
    <m/>
    <m/>
    <m/>
    <n v="5"/>
    <m/>
    <m/>
    <m/>
    <x v="5"/>
  </r>
  <r>
    <s v="P0456"/>
    <n v="32"/>
    <s v="Male"/>
    <s v="Diabetes"/>
    <s v="Pulmonology"/>
    <s v="Dr. Priya"/>
    <d v="2024-10-29T00:00:00"/>
    <d v="2024-11-11T00:00:00"/>
    <n v="225161"/>
    <s v="Private"/>
    <s v="Card"/>
    <x v="1"/>
    <s v="Recovered"/>
    <n v="3"/>
    <m/>
    <m/>
    <m/>
    <m/>
    <m/>
    <m/>
    <m/>
    <m/>
    <m/>
    <n v="10"/>
    <m/>
    <m/>
    <m/>
    <x v="8"/>
  </r>
  <r>
    <s v="P0457"/>
    <n v="27"/>
    <s v="Male"/>
    <s v="Cardiac"/>
    <s v="Pulmonology"/>
    <s v="Dr. Meena"/>
    <d v="2024-02-12T00:00:00"/>
    <d v="2024-02-24T00:00:00"/>
    <n v="15053"/>
    <s v="None"/>
    <s v="Cash"/>
    <x v="2"/>
    <s v="Follow-up"/>
    <n v="4"/>
    <m/>
    <m/>
    <m/>
    <m/>
    <m/>
    <m/>
    <m/>
    <m/>
    <m/>
    <n v="2"/>
    <m/>
    <m/>
    <m/>
    <x v="3"/>
  </r>
  <r>
    <s v="P0458"/>
    <n v="43"/>
    <s v="Female"/>
    <s v="Orthopedic"/>
    <s v="Orthopedics"/>
    <s v="Dr. Meena"/>
    <d v="2025-10-07T00:00:00"/>
    <d v="2025-10-26T00:00:00"/>
    <n v="46203"/>
    <s v="Private"/>
    <s v="Insurance Claim"/>
    <x v="4"/>
    <s v="Follow-up"/>
    <n v="2"/>
    <m/>
    <m/>
    <m/>
    <m/>
    <m/>
    <m/>
    <m/>
    <m/>
    <m/>
    <n v="10"/>
    <m/>
    <m/>
    <m/>
    <x v="8"/>
  </r>
  <r>
    <s v="P0459"/>
    <n v="27"/>
    <s v="Female"/>
    <s v="Respiratory"/>
    <s v="Pulmonology"/>
    <s v="Dr. Arun"/>
    <d v="2024-07-30T00:00:00"/>
    <d v="2024-08-08T00:00:00"/>
    <n v="5513"/>
    <s v="None"/>
    <s v="UPI"/>
    <x v="4"/>
    <s v="Follow-up"/>
    <n v="3"/>
    <m/>
    <m/>
    <m/>
    <m/>
    <m/>
    <m/>
    <m/>
    <m/>
    <m/>
    <n v="7"/>
    <m/>
    <m/>
    <m/>
    <x v="7"/>
  </r>
  <r>
    <s v="P0460"/>
    <n v="74"/>
    <s v="Male"/>
    <s v="Diabetes"/>
    <s v="Orthopedics"/>
    <s v="Dr. Raj"/>
    <d v="2025-10-03T00:00:00"/>
    <d v="2025-10-05T00:00:00"/>
    <n v="234359"/>
    <s v="Private"/>
    <s v="Insurance Claim"/>
    <x v="1"/>
    <s v="Under Treatment"/>
    <n v="5"/>
    <m/>
    <m/>
    <m/>
    <m/>
    <m/>
    <m/>
    <m/>
    <m/>
    <m/>
    <n v="10"/>
    <m/>
    <m/>
    <m/>
    <x v="8"/>
  </r>
  <r>
    <s v="P0461"/>
    <n v="65"/>
    <s v="Male"/>
    <s v="Cancer"/>
    <s v="Orthopedics"/>
    <s v="Dr. Kumar"/>
    <d v="2025-11-14T00:00:00"/>
    <d v="2025-11-15T00:00:00"/>
    <n v="226778"/>
    <s v="Corporate"/>
    <s v="Card"/>
    <x v="4"/>
    <s v="Recovered"/>
    <n v="2"/>
    <m/>
    <m/>
    <m/>
    <m/>
    <m/>
    <m/>
    <m/>
    <m/>
    <m/>
    <n v="11"/>
    <m/>
    <m/>
    <m/>
    <x v="6"/>
  </r>
  <r>
    <s v="P0462"/>
    <n v="65"/>
    <s v="Male"/>
    <s v="Infection"/>
    <s v="Neurology"/>
    <s v="Dr. Arun"/>
    <d v="2025-12-22T00:00:00"/>
    <d v="2026-01-06T00:00:00"/>
    <n v="44314"/>
    <s v="Private"/>
    <s v="Insurance Claim"/>
    <x v="0"/>
    <s v="Recovered"/>
    <n v="2"/>
    <m/>
    <m/>
    <m/>
    <m/>
    <m/>
    <m/>
    <m/>
    <m/>
    <m/>
    <n v="12"/>
    <m/>
    <m/>
    <m/>
    <x v="2"/>
  </r>
  <r>
    <s v="P0463"/>
    <n v="73"/>
    <s v="Male"/>
    <s v="Infection"/>
    <s v="Cardiology"/>
    <s v="Dr. Meena"/>
    <d v="2024-08-17T00:00:00"/>
    <d v="2024-08-28T00:00:00"/>
    <n v="175564"/>
    <s v="Government"/>
    <s v="UPI"/>
    <x v="3"/>
    <s v="Under Treatment"/>
    <n v="1"/>
    <m/>
    <m/>
    <m/>
    <m/>
    <m/>
    <m/>
    <m/>
    <m/>
    <m/>
    <n v="8"/>
    <m/>
    <m/>
    <m/>
    <x v="10"/>
  </r>
  <r>
    <s v="P0464"/>
    <n v="73"/>
    <s v="Female"/>
    <s v="Diabetes"/>
    <s v="Neurology"/>
    <s v="Dr. Raj"/>
    <d v="2024-09-22T00:00:00"/>
    <d v="2024-09-27T00:00:00"/>
    <n v="120884"/>
    <s v="Corporate"/>
    <s v="Insurance Claim"/>
    <x v="2"/>
    <s v="Follow-up"/>
    <n v="1"/>
    <m/>
    <m/>
    <m/>
    <m/>
    <m/>
    <m/>
    <m/>
    <m/>
    <m/>
    <n v="9"/>
    <m/>
    <m/>
    <m/>
    <x v="1"/>
  </r>
  <r>
    <s v="P0465"/>
    <n v="21"/>
    <s v="Female"/>
    <s v="Respiratory"/>
    <s v="Pulmonology"/>
    <s v="Dr. Priya"/>
    <d v="2025-04-12T00:00:00"/>
    <d v="2025-04-15T00:00:00"/>
    <n v="78396"/>
    <s v="Government"/>
    <s v="Cash"/>
    <x v="2"/>
    <s v="Follow-up"/>
    <n v="2"/>
    <m/>
    <m/>
    <m/>
    <m/>
    <m/>
    <m/>
    <m/>
    <m/>
    <m/>
    <n v="4"/>
    <m/>
    <m/>
    <m/>
    <x v="0"/>
  </r>
  <r>
    <s v="P0466"/>
    <n v="72"/>
    <s v="Female"/>
    <s v="Cancer"/>
    <s v="Cardiology"/>
    <s v="Dr. Raj"/>
    <d v="2025-06-07T00:00:00"/>
    <d v="2025-06-27T00:00:00"/>
    <n v="231580"/>
    <s v="Private"/>
    <s v="Card"/>
    <x v="1"/>
    <s v="Follow-up"/>
    <n v="2"/>
    <m/>
    <m/>
    <m/>
    <m/>
    <m/>
    <m/>
    <m/>
    <m/>
    <m/>
    <n v="6"/>
    <m/>
    <m/>
    <m/>
    <x v="11"/>
  </r>
  <r>
    <s v="P0467"/>
    <n v="45"/>
    <s v="Female"/>
    <s v="Neurological"/>
    <s v="Pulmonology"/>
    <s v="Dr. Arun"/>
    <d v="2024-03-15T00:00:00"/>
    <d v="2024-04-03T00:00:00"/>
    <n v="171014"/>
    <s v="Government"/>
    <s v="Cash"/>
    <x v="4"/>
    <s v="Under Treatment"/>
    <n v="5"/>
    <m/>
    <m/>
    <m/>
    <m/>
    <m/>
    <m/>
    <m/>
    <m/>
    <m/>
    <n v="3"/>
    <m/>
    <m/>
    <m/>
    <x v="9"/>
  </r>
  <r>
    <s v="P0468"/>
    <n v="76"/>
    <s v="Male"/>
    <s v="Neurological"/>
    <s v="Pulmonology"/>
    <s v="Dr. Kumar"/>
    <d v="2024-01-07T00:00:00"/>
    <d v="2024-01-16T00:00:00"/>
    <n v="182611"/>
    <s v="Private"/>
    <s v="Cash"/>
    <x v="2"/>
    <s v="Recovered"/>
    <n v="4"/>
    <m/>
    <m/>
    <m/>
    <m/>
    <m/>
    <m/>
    <m/>
    <m/>
    <m/>
    <n v="1"/>
    <m/>
    <m/>
    <m/>
    <x v="4"/>
  </r>
  <r>
    <s v="P0469"/>
    <n v="38"/>
    <s v="Female"/>
    <s v="Orthopedic"/>
    <s v="General Medicine"/>
    <s v="Dr. Priya"/>
    <d v="2024-09-08T00:00:00"/>
    <d v="2024-09-17T00:00:00"/>
    <n v="98362"/>
    <s v="Corporate"/>
    <s v="Card"/>
    <x v="2"/>
    <s v="Follow-up"/>
    <n v="5"/>
    <m/>
    <m/>
    <m/>
    <m/>
    <m/>
    <m/>
    <m/>
    <m/>
    <m/>
    <n v="9"/>
    <m/>
    <m/>
    <m/>
    <x v="1"/>
  </r>
  <r>
    <s v="P0470"/>
    <n v="58"/>
    <s v="Female"/>
    <s v="Neurological"/>
    <s v="Neurology"/>
    <s v="Dr. Priya"/>
    <d v="2025-09-18T00:00:00"/>
    <d v="2025-10-01T00:00:00"/>
    <n v="225153"/>
    <s v="Private"/>
    <s v="Insurance Claim"/>
    <x v="1"/>
    <s v="Follow-up"/>
    <n v="5"/>
    <m/>
    <m/>
    <m/>
    <m/>
    <m/>
    <m/>
    <m/>
    <m/>
    <m/>
    <n v="9"/>
    <m/>
    <m/>
    <m/>
    <x v="1"/>
  </r>
  <r>
    <s v="P0471"/>
    <n v="81"/>
    <s v="Female"/>
    <s v="Infection"/>
    <s v="Neurology"/>
    <s v="Dr. Raj"/>
    <d v="2025-08-24T00:00:00"/>
    <d v="2025-09-03T00:00:00"/>
    <n v="122155"/>
    <s v="Corporate"/>
    <s v="Cash"/>
    <x v="3"/>
    <s v="Recovered"/>
    <n v="4"/>
    <m/>
    <m/>
    <m/>
    <m/>
    <m/>
    <m/>
    <m/>
    <m/>
    <m/>
    <n v="8"/>
    <m/>
    <m/>
    <m/>
    <x v="10"/>
  </r>
  <r>
    <s v="P0472"/>
    <n v="51"/>
    <s v="Male"/>
    <s v="Orthopedic"/>
    <s v="General Medicine"/>
    <s v="Dr. Kumar"/>
    <d v="2025-07-02T00:00:00"/>
    <d v="2025-07-15T00:00:00"/>
    <n v="177679"/>
    <s v="None"/>
    <s v="Cash"/>
    <x v="3"/>
    <s v="Follow-up"/>
    <n v="1"/>
    <m/>
    <m/>
    <m/>
    <m/>
    <m/>
    <m/>
    <m/>
    <m/>
    <m/>
    <n v="7"/>
    <m/>
    <m/>
    <m/>
    <x v="7"/>
  </r>
  <r>
    <s v="P0473"/>
    <n v="70"/>
    <s v="Male"/>
    <s v="Neurological"/>
    <s v="Cardiology"/>
    <s v="Dr. Raj"/>
    <d v="2025-11-17T00:00:00"/>
    <d v="2025-12-04T00:00:00"/>
    <n v="55639"/>
    <s v="Corporate"/>
    <s v="Cash"/>
    <x v="4"/>
    <s v="Under Treatment"/>
    <n v="4"/>
    <m/>
    <m/>
    <m/>
    <m/>
    <m/>
    <m/>
    <m/>
    <m/>
    <m/>
    <n v="11"/>
    <m/>
    <m/>
    <m/>
    <x v="6"/>
  </r>
  <r>
    <s v="P0474"/>
    <n v="52"/>
    <s v="Male"/>
    <s v="Respiratory"/>
    <s v="Cardiology"/>
    <s v="Dr. Kumar"/>
    <d v="2024-10-23T00:00:00"/>
    <d v="2024-11-12T00:00:00"/>
    <n v="117079"/>
    <s v="None"/>
    <s v="Insurance Claim"/>
    <x v="3"/>
    <s v="Recovered"/>
    <n v="5"/>
    <m/>
    <m/>
    <m/>
    <m/>
    <m/>
    <m/>
    <m/>
    <m/>
    <m/>
    <n v="10"/>
    <m/>
    <m/>
    <m/>
    <x v="8"/>
  </r>
  <r>
    <s v="P0475"/>
    <n v="31"/>
    <s v="Male"/>
    <s v="Infection"/>
    <s v="Cardiology"/>
    <s v="Dr. Kumar"/>
    <d v="2025-07-21T00:00:00"/>
    <d v="2025-08-04T00:00:00"/>
    <n v="153519"/>
    <s v="Private"/>
    <s v="Cash"/>
    <x v="1"/>
    <s v="Recovered"/>
    <n v="4"/>
    <m/>
    <m/>
    <m/>
    <m/>
    <m/>
    <m/>
    <m/>
    <m/>
    <m/>
    <n v="7"/>
    <m/>
    <m/>
    <m/>
    <x v="7"/>
  </r>
  <r>
    <s v="P0476"/>
    <n v="61"/>
    <s v="Male"/>
    <s v="Respiratory"/>
    <s v="General Medicine"/>
    <s v="Dr. Kumar"/>
    <d v="2024-06-22T00:00:00"/>
    <d v="2024-07-08T00:00:00"/>
    <n v="230335"/>
    <s v="Government"/>
    <s v="UPI"/>
    <x v="4"/>
    <s v="Recovered"/>
    <n v="1"/>
    <m/>
    <m/>
    <m/>
    <m/>
    <m/>
    <m/>
    <m/>
    <m/>
    <m/>
    <n v="6"/>
    <m/>
    <m/>
    <m/>
    <x v="11"/>
  </r>
  <r>
    <s v="P0477"/>
    <n v="68"/>
    <s v="Male"/>
    <s v="Diabetes"/>
    <s v="Pulmonology"/>
    <s v="Dr. Raj"/>
    <d v="2024-07-13T00:00:00"/>
    <d v="2024-08-01T00:00:00"/>
    <n v="189253"/>
    <s v="Private"/>
    <s v="Card"/>
    <x v="0"/>
    <s v="Follow-up"/>
    <n v="3"/>
    <m/>
    <m/>
    <m/>
    <m/>
    <m/>
    <m/>
    <m/>
    <m/>
    <m/>
    <n v="7"/>
    <m/>
    <m/>
    <m/>
    <x v="7"/>
  </r>
  <r>
    <s v="P0478"/>
    <n v="35"/>
    <s v="Female"/>
    <s v="Neurological"/>
    <s v="Cardiology"/>
    <s v="Dr. Kumar"/>
    <d v="2025-03-07T00:00:00"/>
    <d v="2025-03-08T00:00:00"/>
    <n v="46531"/>
    <s v="Government"/>
    <s v="Insurance Claim"/>
    <x v="2"/>
    <s v="Follow-up"/>
    <n v="3"/>
    <m/>
    <m/>
    <m/>
    <m/>
    <m/>
    <m/>
    <m/>
    <m/>
    <m/>
    <n v="3"/>
    <m/>
    <m/>
    <m/>
    <x v="9"/>
  </r>
  <r>
    <s v="P0479"/>
    <n v="24"/>
    <s v="Female"/>
    <s v="Diabetes"/>
    <s v="Orthopedics"/>
    <s v="Dr. Arun"/>
    <d v="2024-12-07T00:00:00"/>
    <d v="2024-12-25T00:00:00"/>
    <n v="46571"/>
    <s v="Private"/>
    <s v="UPI"/>
    <x v="3"/>
    <s v="Follow-up"/>
    <n v="2"/>
    <m/>
    <m/>
    <m/>
    <m/>
    <m/>
    <m/>
    <m/>
    <m/>
    <m/>
    <n v="12"/>
    <m/>
    <m/>
    <m/>
    <x v="2"/>
  </r>
  <r>
    <s v="P0480"/>
    <n v="18"/>
    <s v="Female"/>
    <s v="Neurological"/>
    <s v="Oncology"/>
    <s v="Dr. Arun"/>
    <d v="2025-08-18T00:00:00"/>
    <d v="2025-08-31T00:00:00"/>
    <n v="107518"/>
    <s v="Corporate"/>
    <s v="Cash"/>
    <x v="4"/>
    <s v="Follow-up"/>
    <n v="5"/>
    <m/>
    <m/>
    <m/>
    <m/>
    <m/>
    <m/>
    <m/>
    <m/>
    <m/>
    <n v="8"/>
    <m/>
    <m/>
    <m/>
    <x v="10"/>
  </r>
  <r>
    <s v="P0481"/>
    <n v="83"/>
    <s v="Female"/>
    <s v="Cancer"/>
    <s v="Neurology"/>
    <s v="Dr. Meena"/>
    <d v="2024-01-31T00:00:00"/>
    <d v="2024-02-07T00:00:00"/>
    <n v="113360"/>
    <s v="Corporate"/>
    <s v="Card"/>
    <x v="0"/>
    <s v="Follow-up"/>
    <n v="1"/>
    <m/>
    <m/>
    <m/>
    <m/>
    <m/>
    <m/>
    <m/>
    <m/>
    <m/>
    <n v="1"/>
    <m/>
    <m/>
    <m/>
    <x v="4"/>
  </r>
  <r>
    <s v="P0482"/>
    <n v="43"/>
    <s v="Male"/>
    <s v="Diabetes"/>
    <s v="Cardiology"/>
    <s v="Dr. Arun"/>
    <d v="2025-01-29T00:00:00"/>
    <d v="2025-02-15T00:00:00"/>
    <n v="206934"/>
    <s v="Government"/>
    <s v="Card"/>
    <x v="0"/>
    <s v="Under Treatment"/>
    <n v="1"/>
    <m/>
    <m/>
    <m/>
    <m/>
    <m/>
    <m/>
    <m/>
    <m/>
    <m/>
    <n v="1"/>
    <m/>
    <m/>
    <m/>
    <x v="4"/>
  </r>
  <r>
    <s v="P0483"/>
    <n v="24"/>
    <s v="Male"/>
    <s v="Orthopedic"/>
    <s v="Cardiology"/>
    <s v="Dr. Raj"/>
    <d v="2024-12-13T00:00:00"/>
    <d v="2024-12-14T00:00:00"/>
    <n v="155736"/>
    <s v="Private"/>
    <s v="Cash"/>
    <x v="3"/>
    <s v="Follow-up"/>
    <n v="5"/>
    <m/>
    <m/>
    <m/>
    <m/>
    <m/>
    <m/>
    <m/>
    <m/>
    <m/>
    <n v="12"/>
    <m/>
    <m/>
    <m/>
    <x v="2"/>
  </r>
  <r>
    <s v="P0484"/>
    <n v="41"/>
    <s v="Female"/>
    <s v="Diabetes"/>
    <s v="Oncology"/>
    <s v="Dr. Kumar"/>
    <d v="2025-03-20T00:00:00"/>
    <d v="2025-03-26T00:00:00"/>
    <n v="193668"/>
    <s v="None"/>
    <s v="Card"/>
    <x v="0"/>
    <s v="Recovered"/>
    <n v="3"/>
    <m/>
    <m/>
    <m/>
    <m/>
    <m/>
    <m/>
    <m/>
    <m/>
    <m/>
    <n v="3"/>
    <m/>
    <m/>
    <m/>
    <x v="9"/>
  </r>
  <r>
    <s v="P0485"/>
    <n v="29"/>
    <s v="Male"/>
    <s v="Cardiac"/>
    <s v="General Medicine"/>
    <s v="Dr. Raj"/>
    <d v="2025-01-07T00:00:00"/>
    <d v="2025-01-15T00:00:00"/>
    <n v="23543"/>
    <s v="Corporate"/>
    <s v="Cash"/>
    <x v="0"/>
    <s v="Under Treatment"/>
    <n v="2"/>
    <m/>
    <m/>
    <m/>
    <m/>
    <m/>
    <m/>
    <m/>
    <m/>
    <m/>
    <n v="1"/>
    <m/>
    <m/>
    <m/>
    <x v="4"/>
  </r>
  <r>
    <s v="P0486"/>
    <n v="47"/>
    <s v="Female"/>
    <s v="Infection"/>
    <s v="Neurology"/>
    <s v="Dr. Kumar"/>
    <d v="2025-04-21T00:00:00"/>
    <d v="2025-05-10T00:00:00"/>
    <n v="71817"/>
    <s v="None"/>
    <s v="Card"/>
    <x v="3"/>
    <s v="Under Treatment"/>
    <n v="5"/>
    <m/>
    <m/>
    <m/>
    <m/>
    <m/>
    <m/>
    <m/>
    <m/>
    <m/>
    <n v="4"/>
    <m/>
    <m/>
    <m/>
    <x v="0"/>
  </r>
  <r>
    <s v="P0487"/>
    <n v="29"/>
    <s v="Male"/>
    <s v="Respiratory"/>
    <s v="Cardiology"/>
    <s v="Dr. Meena"/>
    <d v="2024-10-29T00:00:00"/>
    <d v="2024-11-10T00:00:00"/>
    <n v="60352"/>
    <s v="Private"/>
    <s v="Cash"/>
    <x v="0"/>
    <s v="Under Treatment"/>
    <n v="1"/>
    <m/>
    <m/>
    <m/>
    <m/>
    <m/>
    <m/>
    <m/>
    <m/>
    <m/>
    <n v="10"/>
    <m/>
    <m/>
    <m/>
    <x v="8"/>
  </r>
  <r>
    <s v="P0488"/>
    <n v="51"/>
    <s v="Female"/>
    <s v="Cancer"/>
    <s v="Pulmonology"/>
    <s v="Dr. Kumar"/>
    <d v="2025-09-19T00:00:00"/>
    <d v="2025-09-27T00:00:00"/>
    <n v="96716"/>
    <s v="Private"/>
    <s v="Cash"/>
    <x v="1"/>
    <s v="Under Treatment"/>
    <n v="5"/>
    <m/>
    <m/>
    <m/>
    <m/>
    <m/>
    <m/>
    <m/>
    <m/>
    <m/>
    <n v="9"/>
    <m/>
    <m/>
    <m/>
    <x v="1"/>
  </r>
  <r>
    <s v="P0489"/>
    <n v="54"/>
    <s v="Male"/>
    <s v="Neurological"/>
    <s v="Cardiology"/>
    <s v="Dr. Arun"/>
    <d v="2024-04-29T00:00:00"/>
    <d v="2024-05-14T00:00:00"/>
    <n v="178005"/>
    <s v="None"/>
    <s v="Insurance Claim"/>
    <x v="4"/>
    <s v="Under Treatment"/>
    <n v="5"/>
    <m/>
    <m/>
    <m/>
    <m/>
    <m/>
    <m/>
    <m/>
    <m/>
    <m/>
    <n v="4"/>
    <m/>
    <m/>
    <m/>
    <x v="0"/>
  </r>
  <r>
    <s v="P0490"/>
    <n v="47"/>
    <s v="Female"/>
    <s v="Orthopedic"/>
    <s v="General Medicine"/>
    <s v="Dr. Priya"/>
    <d v="2025-06-11T00:00:00"/>
    <d v="2025-06-26T00:00:00"/>
    <n v="208248"/>
    <s v="Government"/>
    <s v="Insurance Claim"/>
    <x v="2"/>
    <s v="Under Treatment"/>
    <n v="4"/>
    <m/>
    <m/>
    <m/>
    <m/>
    <m/>
    <m/>
    <m/>
    <m/>
    <m/>
    <n v="6"/>
    <m/>
    <m/>
    <m/>
    <x v="11"/>
  </r>
  <r>
    <s v="P0491"/>
    <n v="60"/>
    <s v="Male"/>
    <s v="Neurological"/>
    <s v="Neurology"/>
    <s v="Dr. Kumar"/>
    <d v="2024-07-12T00:00:00"/>
    <d v="2024-07-21T00:00:00"/>
    <n v="235237"/>
    <s v="Corporate"/>
    <s v="Insurance Claim"/>
    <x v="3"/>
    <s v="Recovered"/>
    <n v="2"/>
    <m/>
    <m/>
    <m/>
    <m/>
    <m/>
    <m/>
    <m/>
    <m/>
    <m/>
    <n v="7"/>
    <m/>
    <m/>
    <m/>
    <x v="7"/>
  </r>
  <r>
    <s v="P0492"/>
    <n v="54"/>
    <s v="Male"/>
    <s v="Neurological"/>
    <s v="Oncology"/>
    <s v="Dr. Kumar"/>
    <d v="2025-03-28T00:00:00"/>
    <d v="2025-04-12T00:00:00"/>
    <n v="133053"/>
    <s v="Private"/>
    <s v="Card"/>
    <x v="1"/>
    <s v="Under Treatment"/>
    <n v="1"/>
    <m/>
    <m/>
    <m/>
    <m/>
    <m/>
    <m/>
    <m/>
    <m/>
    <m/>
    <n v="3"/>
    <m/>
    <m/>
    <m/>
    <x v="9"/>
  </r>
  <r>
    <s v="P0493"/>
    <n v="64"/>
    <s v="Male"/>
    <s v="Cancer"/>
    <s v="Oncology"/>
    <s v="Dr. Arun"/>
    <d v="2024-05-30T00:00:00"/>
    <d v="2024-06-04T00:00:00"/>
    <n v="172055"/>
    <s v="None"/>
    <s v="UPI"/>
    <x v="0"/>
    <s v="Under Treatment"/>
    <n v="5"/>
    <m/>
    <m/>
    <m/>
    <m/>
    <m/>
    <m/>
    <m/>
    <m/>
    <m/>
    <n v="5"/>
    <m/>
    <m/>
    <m/>
    <x v="5"/>
  </r>
  <r>
    <s v="P0494"/>
    <n v="30"/>
    <s v="Female"/>
    <s v="Respiratory"/>
    <s v="Orthopedics"/>
    <s v="Dr. Kumar"/>
    <d v="2024-04-30T00:00:00"/>
    <d v="2024-05-01T00:00:00"/>
    <n v="51476"/>
    <s v="Corporate"/>
    <s v="Insurance Claim"/>
    <x v="4"/>
    <s v="Recovered"/>
    <n v="4"/>
    <m/>
    <m/>
    <m/>
    <m/>
    <m/>
    <m/>
    <m/>
    <m/>
    <m/>
    <n v="4"/>
    <m/>
    <m/>
    <m/>
    <x v="0"/>
  </r>
  <r>
    <s v="P0495"/>
    <n v="42"/>
    <s v="Male"/>
    <s v="Neurological"/>
    <s v="Cardiology"/>
    <s v="Dr. Meena"/>
    <d v="2025-10-25T00:00:00"/>
    <d v="2025-10-26T00:00:00"/>
    <n v="218837"/>
    <s v="Private"/>
    <s v="Card"/>
    <x v="4"/>
    <s v="Recovered"/>
    <n v="2"/>
    <m/>
    <m/>
    <m/>
    <m/>
    <m/>
    <m/>
    <m/>
    <m/>
    <m/>
    <n v="10"/>
    <m/>
    <m/>
    <m/>
    <x v="8"/>
  </r>
  <r>
    <s v="P0496"/>
    <n v="54"/>
    <s v="Female"/>
    <s v="Neurological"/>
    <s v="Neurology"/>
    <s v="Dr. Raj"/>
    <d v="2025-10-30T00:00:00"/>
    <d v="2025-11-03T00:00:00"/>
    <n v="8923"/>
    <s v="Government"/>
    <s v="UPI"/>
    <x v="1"/>
    <s v="Follow-up"/>
    <n v="2"/>
    <m/>
    <m/>
    <m/>
    <m/>
    <m/>
    <m/>
    <m/>
    <m/>
    <m/>
    <n v="10"/>
    <m/>
    <m/>
    <m/>
    <x v="8"/>
  </r>
  <r>
    <s v="P0497"/>
    <n v="68"/>
    <s v="Male"/>
    <s v="Neurological"/>
    <s v="Neurology"/>
    <s v="Dr. Raj"/>
    <d v="2025-03-17T00:00:00"/>
    <d v="2025-04-05T00:00:00"/>
    <n v="70809"/>
    <s v="Government"/>
    <s v="Card"/>
    <x v="4"/>
    <s v="Recovered"/>
    <n v="1"/>
    <m/>
    <m/>
    <m/>
    <m/>
    <m/>
    <m/>
    <m/>
    <m/>
    <m/>
    <n v="3"/>
    <m/>
    <m/>
    <m/>
    <x v="9"/>
  </r>
  <r>
    <s v="P0498"/>
    <n v="76"/>
    <s v="Male"/>
    <s v="Respiratory"/>
    <s v="General Medicine"/>
    <s v="Dr. Meena"/>
    <d v="2025-03-25T00:00:00"/>
    <d v="2025-03-26T00:00:00"/>
    <n v="150158"/>
    <s v="Corporate"/>
    <s v="Cash"/>
    <x v="0"/>
    <s v="Under Treatment"/>
    <n v="1"/>
    <m/>
    <m/>
    <m/>
    <m/>
    <m/>
    <m/>
    <m/>
    <m/>
    <m/>
    <n v="3"/>
    <m/>
    <m/>
    <m/>
    <x v="9"/>
  </r>
  <r>
    <s v="P0499"/>
    <n v="53"/>
    <s v="Female"/>
    <s v="Infection"/>
    <s v="Cardiology"/>
    <s v="Dr. Priya"/>
    <d v="2024-06-24T00:00:00"/>
    <d v="2024-06-26T00:00:00"/>
    <n v="97965"/>
    <s v="Government"/>
    <s v="Card"/>
    <x v="4"/>
    <s v="Follow-up"/>
    <n v="4"/>
    <m/>
    <m/>
    <m/>
    <m/>
    <m/>
    <m/>
    <m/>
    <m/>
    <m/>
    <n v="6"/>
    <m/>
    <m/>
    <m/>
    <x v="11"/>
  </r>
  <r>
    <s v="P0500"/>
    <n v="27"/>
    <s v="Female"/>
    <s v="Infection"/>
    <s v="Orthopedics"/>
    <s v="Dr. Priya"/>
    <d v="2025-02-11T00:00:00"/>
    <d v="2025-02-24T00:00:00"/>
    <n v="104026"/>
    <s v="Private"/>
    <s v="Card"/>
    <x v="1"/>
    <s v="Under Treatment"/>
    <n v="3"/>
    <m/>
    <m/>
    <m/>
    <m/>
    <m/>
    <m/>
    <m/>
    <m/>
    <m/>
    <n v="2"/>
    <m/>
    <m/>
    <m/>
    <x v="3"/>
  </r>
  <r>
    <s v="P0501"/>
    <n v="18"/>
    <s v="Male"/>
    <s v="Neurological"/>
    <s v="General Medicine"/>
    <s v="Dr. Priya"/>
    <d v="2024-05-25T00:00:00"/>
    <d v="2024-06-10T00:00:00"/>
    <n v="193991"/>
    <s v="Private"/>
    <s v="UPI"/>
    <x v="1"/>
    <s v="Under Treatment"/>
    <n v="4"/>
    <m/>
    <m/>
    <m/>
    <m/>
    <m/>
    <m/>
    <m/>
    <m/>
    <m/>
    <n v="5"/>
    <m/>
    <m/>
    <m/>
    <x v="5"/>
  </r>
  <r>
    <s v="P0502"/>
    <n v="71"/>
    <s v="Male"/>
    <s v="Cardiac"/>
    <s v="Cardiology"/>
    <s v="Dr. Kumar"/>
    <d v="2024-06-25T00:00:00"/>
    <d v="2024-06-28T00:00:00"/>
    <n v="235369"/>
    <s v="Private"/>
    <s v="UPI"/>
    <x v="1"/>
    <s v="Follow-up"/>
    <n v="1"/>
    <m/>
    <m/>
    <m/>
    <m/>
    <m/>
    <m/>
    <m/>
    <m/>
    <m/>
    <n v="6"/>
    <m/>
    <m/>
    <m/>
    <x v="11"/>
  </r>
  <r>
    <s v="P0503"/>
    <n v="59"/>
    <s v="Female"/>
    <s v="Respiratory"/>
    <s v="Neurology"/>
    <s v="Dr. Arun"/>
    <d v="2024-03-19T00:00:00"/>
    <d v="2024-04-05T00:00:00"/>
    <n v="44384"/>
    <s v="Private"/>
    <s v="Cash"/>
    <x v="0"/>
    <s v="Recovered"/>
    <n v="4"/>
    <m/>
    <m/>
    <m/>
    <m/>
    <m/>
    <m/>
    <m/>
    <m/>
    <m/>
    <n v="3"/>
    <m/>
    <m/>
    <m/>
    <x v="9"/>
  </r>
  <r>
    <s v="P0504"/>
    <n v="45"/>
    <s v="Female"/>
    <s v="Cancer"/>
    <s v="General Medicine"/>
    <s v="Dr. Kumar"/>
    <d v="2025-07-14T00:00:00"/>
    <d v="2025-07-17T00:00:00"/>
    <n v="207108"/>
    <s v="None"/>
    <s v="Cash"/>
    <x v="3"/>
    <s v="Recovered"/>
    <n v="4"/>
    <m/>
    <m/>
    <m/>
    <m/>
    <m/>
    <m/>
    <m/>
    <m/>
    <m/>
    <n v="7"/>
    <m/>
    <m/>
    <m/>
    <x v="7"/>
  </r>
  <r>
    <s v="P0505"/>
    <n v="46"/>
    <s v="Female"/>
    <s v="Cardiac"/>
    <s v="Orthopedics"/>
    <s v="Dr. Priya"/>
    <d v="2025-07-16T00:00:00"/>
    <d v="2025-07-27T00:00:00"/>
    <n v="49377"/>
    <s v="Government"/>
    <s v="Insurance Claim"/>
    <x v="1"/>
    <s v="Under Treatment"/>
    <n v="4"/>
    <m/>
    <m/>
    <m/>
    <m/>
    <m/>
    <m/>
    <m/>
    <m/>
    <m/>
    <n v="7"/>
    <m/>
    <m/>
    <m/>
    <x v="7"/>
  </r>
  <r>
    <s v="P0506"/>
    <n v="68"/>
    <s v="Female"/>
    <s v="Diabetes"/>
    <s v="Orthopedics"/>
    <s v="Dr. Meena"/>
    <d v="2025-09-01T00:00:00"/>
    <d v="2025-09-14T00:00:00"/>
    <n v="28441"/>
    <s v="Corporate"/>
    <s v="Insurance Claim"/>
    <x v="0"/>
    <s v="Recovered"/>
    <n v="1"/>
    <m/>
    <m/>
    <m/>
    <m/>
    <m/>
    <m/>
    <m/>
    <m/>
    <m/>
    <n v="9"/>
    <m/>
    <m/>
    <m/>
    <x v="1"/>
  </r>
  <r>
    <s v="P0507"/>
    <n v="76"/>
    <s v="Female"/>
    <s v="Orthopedic"/>
    <s v="General Medicine"/>
    <s v="Dr. Raj"/>
    <d v="2024-04-16T00:00:00"/>
    <d v="2024-04-25T00:00:00"/>
    <n v="34661"/>
    <s v="Government"/>
    <s v="Card"/>
    <x v="0"/>
    <s v="Under Treatment"/>
    <n v="1"/>
    <m/>
    <m/>
    <m/>
    <m/>
    <m/>
    <m/>
    <m/>
    <m/>
    <m/>
    <n v="4"/>
    <m/>
    <m/>
    <m/>
    <x v="0"/>
  </r>
  <r>
    <s v="P0508"/>
    <n v="20"/>
    <s v="Female"/>
    <s v="Respiratory"/>
    <s v="Cardiology"/>
    <s v="Dr. Raj"/>
    <d v="2024-08-30T00:00:00"/>
    <d v="2024-09-16T00:00:00"/>
    <n v="105641"/>
    <s v="Corporate"/>
    <s v="UPI"/>
    <x v="4"/>
    <s v="Follow-up"/>
    <n v="5"/>
    <m/>
    <m/>
    <m/>
    <m/>
    <m/>
    <m/>
    <m/>
    <m/>
    <m/>
    <n v="8"/>
    <m/>
    <m/>
    <m/>
    <x v="10"/>
  </r>
  <r>
    <s v="P0509"/>
    <n v="48"/>
    <s v="Female"/>
    <s v="Diabetes"/>
    <s v="Oncology"/>
    <s v="Dr. Meena"/>
    <d v="2024-11-30T00:00:00"/>
    <d v="2024-12-13T00:00:00"/>
    <n v="35863"/>
    <s v="Government"/>
    <s v="Insurance Claim"/>
    <x v="1"/>
    <s v="Follow-up"/>
    <n v="3"/>
    <m/>
    <m/>
    <m/>
    <m/>
    <m/>
    <m/>
    <m/>
    <m/>
    <m/>
    <n v="11"/>
    <m/>
    <m/>
    <m/>
    <x v="6"/>
  </r>
  <r>
    <s v="P0510"/>
    <n v="18"/>
    <s v="Male"/>
    <s v="Respiratory"/>
    <s v="Pulmonology"/>
    <s v="Dr. Meena"/>
    <d v="2024-05-21T00:00:00"/>
    <d v="2024-05-26T00:00:00"/>
    <n v="190215"/>
    <s v="Government"/>
    <s v="UPI"/>
    <x v="0"/>
    <s v="Follow-up"/>
    <n v="3"/>
    <m/>
    <m/>
    <m/>
    <m/>
    <m/>
    <m/>
    <m/>
    <m/>
    <m/>
    <n v="5"/>
    <m/>
    <m/>
    <m/>
    <x v="5"/>
  </r>
  <r>
    <s v="P0511"/>
    <n v="30"/>
    <s v="Female"/>
    <s v="Infection"/>
    <s v="Cardiology"/>
    <s v="Dr. Raj"/>
    <d v="2024-10-24T00:00:00"/>
    <d v="2024-11-10T00:00:00"/>
    <n v="188163"/>
    <s v="Government"/>
    <s v="UPI"/>
    <x v="1"/>
    <s v="Under Treatment"/>
    <n v="1"/>
    <m/>
    <m/>
    <m/>
    <m/>
    <m/>
    <m/>
    <m/>
    <m/>
    <m/>
    <n v="10"/>
    <m/>
    <m/>
    <m/>
    <x v="8"/>
  </r>
  <r>
    <s v="P0512"/>
    <n v="53"/>
    <s v="Female"/>
    <s v="Infection"/>
    <s v="Pulmonology"/>
    <s v="Dr. Priya"/>
    <d v="2024-03-31T00:00:00"/>
    <d v="2024-04-02T00:00:00"/>
    <n v="98896"/>
    <s v="Private"/>
    <s v="Cash"/>
    <x v="0"/>
    <s v="Follow-up"/>
    <n v="2"/>
    <m/>
    <m/>
    <m/>
    <m/>
    <m/>
    <m/>
    <m/>
    <m/>
    <m/>
    <n v="3"/>
    <m/>
    <m/>
    <m/>
    <x v="9"/>
  </r>
  <r>
    <s v="P0513"/>
    <n v="74"/>
    <s v="Female"/>
    <s v="Infection"/>
    <s v="Orthopedics"/>
    <s v="Dr. Arun"/>
    <d v="2024-03-18T00:00:00"/>
    <d v="2024-03-30T00:00:00"/>
    <n v="97955"/>
    <s v="None"/>
    <s v="Cash"/>
    <x v="2"/>
    <s v="Recovered"/>
    <n v="4"/>
    <m/>
    <m/>
    <m/>
    <m/>
    <m/>
    <m/>
    <m/>
    <m/>
    <m/>
    <n v="3"/>
    <m/>
    <m/>
    <m/>
    <x v="9"/>
  </r>
  <r>
    <s v="P0514"/>
    <n v="60"/>
    <s v="Female"/>
    <s v="Respiratory"/>
    <s v="Pulmonology"/>
    <s v="Dr. Arun"/>
    <d v="2024-08-26T00:00:00"/>
    <d v="2024-09-04T00:00:00"/>
    <n v="100176"/>
    <s v="Corporate"/>
    <s v="Card"/>
    <x v="1"/>
    <s v="Follow-up"/>
    <n v="1"/>
    <m/>
    <m/>
    <m/>
    <m/>
    <m/>
    <m/>
    <m/>
    <m/>
    <m/>
    <n v="8"/>
    <m/>
    <m/>
    <m/>
    <x v="10"/>
  </r>
  <r>
    <s v="P0515"/>
    <n v="70"/>
    <s v="Male"/>
    <s v="Neurological"/>
    <s v="Orthopedics"/>
    <s v="Dr. Arun"/>
    <d v="2024-09-15T00:00:00"/>
    <d v="2024-10-03T00:00:00"/>
    <n v="153832"/>
    <s v="Corporate"/>
    <s v="UPI"/>
    <x v="3"/>
    <s v="Follow-up"/>
    <n v="3"/>
    <m/>
    <m/>
    <m/>
    <m/>
    <m/>
    <m/>
    <m/>
    <m/>
    <m/>
    <n v="9"/>
    <m/>
    <m/>
    <m/>
    <x v="1"/>
  </r>
  <r>
    <s v="P0516"/>
    <n v="69"/>
    <s v="Male"/>
    <s v="Neurological"/>
    <s v="Oncology"/>
    <s v="Dr. Priya"/>
    <d v="2025-07-11T00:00:00"/>
    <d v="2025-07-26T00:00:00"/>
    <n v="78588"/>
    <s v="Corporate"/>
    <s v="Insurance Claim"/>
    <x v="3"/>
    <s v="Follow-up"/>
    <n v="4"/>
    <m/>
    <m/>
    <m/>
    <m/>
    <m/>
    <m/>
    <m/>
    <m/>
    <m/>
    <n v="7"/>
    <m/>
    <m/>
    <m/>
    <x v="7"/>
  </r>
  <r>
    <s v="P0517"/>
    <n v="31"/>
    <s v="Male"/>
    <s v="Diabetes"/>
    <s v="Orthopedics"/>
    <s v="Dr. Raj"/>
    <d v="2024-10-10T00:00:00"/>
    <d v="2024-10-19T00:00:00"/>
    <n v="52925"/>
    <s v="Private"/>
    <s v="Cash"/>
    <x v="3"/>
    <s v="Follow-up"/>
    <n v="5"/>
    <m/>
    <m/>
    <m/>
    <m/>
    <m/>
    <m/>
    <m/>
    <m/>
    <m/>
    <n v="10"/>
    <m/>
    <m/>
    <m/>
    <x v="8"/>
  </r>
  <r>
    <s v="P0518"/>
    <n v="35"/>
    <s v="Male"/>
    <s v="Infection"/>
    <s v="Pulmonology"/>
    <s v="Dr. Kumar"/>
    <d v="2024-04-10T00:00:00"/>
    <d v="2024-04-17T00:00:00"/>
    <n v="174402"/>
    <s v="Government"/>
    <s v="Card"/>
    <x v="1"/>
    <s v="Follow-up"/>
    <n v="5"/>
    <m/>
    <m/>
    <m/>
    <m/>
    <m/>
    <m/>
    <m/>
    <m/>
    <m/>
    <n v="4"/>
    <m/>
    <m/>
    <m/>
    <x v="0"/>
  </r>
  <r>
    <s v="P0519"/>
    <n v="49"/>
    <s v="Male"/>
    <s v="Orthopedic"/>
    <s v="Orthopedics"/>
    <s v="Dr. Raj"/>
    <d v="2025-04-21T00:00:00"/>
    <d v="2025-05-03T00:00:00"/>
    <n v="8741"/>
    <s v="None"/>
    <s v="Insurance Claim"/>
    <x v="1"/>
    <s v="Follow-up"/>
    <n v="1"/>
    <m/>
    <m/>
    <m/>
    <m/>
    <m/>
    <m/>
    <m/>
    <m/>
    <m/>
    <n v="4"/>
    <m/>
    <m/>
    <m/>
    <x v="0"/>
  </r>
  <r>
    <s v="P0520"/>
    <n v="73"/>
    <s v="Female"/>
    <s v="Orthopedic"/>
    <s v="Orthopedics"/>
    <s v="Dr. Raj"/>
    <d v="2024-11-02T00:00:00"/>
    <d v="2024-11-14T00:00:00"/>
    <n v="134538"/>
    <s v="None"/>
    <s v="Cash"/>
    <x v="2"/>
    <s v="Under Treatment"/>
    <n v="4"/>
    <m/>
    <m/>
    <m/>
    <m/>
    <m/>
    <m/>
    <m/>
    <m/>
    <m/>
    <n v="11"/>
    <m/>
    <m/>
    <m/>
    <x v="6"/>
  </r>
  <r>
    <s v="P0521"/>
    <n v="66"/>
    <s v="Male"/>
    <s v="Diabetes"/>
    <s v="General Medicine"/>
    <s v="Dr. Priya"/>
    <d v="2025-10-07T00:00:00"/>
    <d v="2025-10-12T00:00:00"/>
    <n v="33960"/>
    <s v="Private"/>
    <s v="Insurance Claim"/>
    <x v="1"/>
    <s v="Follow-up"/>
    <n v="1"/>
    <m/>
    <m/>
    <m/>
    <m/>
    <m/>
    <m/>
    <m/>
    <m/>
    <m/>
    <n v="10"/>
    <m/>
    <m/>
    <m/>
    <x v="8"/>
  </r>
  <r>
    <s v="P0522"/>
    <n v="68"/>
    <s v="Female"/>
    <s v="Diabetes"/>
    <s v="Neurology"/>
    <s v="Dr. Meena"/>
    <d v="2025-06-22T00:00:00"/>
    <d v="2025-07-07T00:00:00"/>
    <n v="110980"/>
    <s v="Corporate"/>
    <s v="Cash"/>
    <x v="3"/>
    <s v="Recovered"/>
    <n v="4"/>
    <m/>
    <m/>
    <m/>
    <m/>
    <m/>
    <m/>
    <m/>
    <m/>
    <m/>
    <n v="6"/>
    <m/>
    <m/>
    <m/>
    <x v="11"/>
  </r>
  <r>
    <s v="P0523"/>
    <n v="33"/>
    <s v="Female"/>
    <s v="Diabetes"/>
    <s v="Neurology"/>
    <s v="Dr. Raj"/>
    <d v="2025-08-12T00:00:00"/>
    <d v="2025-08-22T00:00:00"/>
    <n v="223496"/>
    <s v="Private"/>
    <s v="Card"/>
    <x v="2"/>
    <s v="Follow-up"/>
    <n v="5"/>
    <m/>
    <m/>
    <m/>
    <m/>
    <m/>
    <m/>
    <m/>
    <m/>
    <m/>
    <n v="8"/>
    <m/>
    <m/>
    <m/>
    <x v="10"/>
  </r>
  <r>
    <s v="P0524"/>
    <n v="31"/>
    <s v="Female"/>
    <s v="Cancer"/>
    <s v="Orthopedics"/>
    <s v="Dr. Arun"/>
    <d v="2024-12-31T00:00:00"/>
    <d v="2025-01-08T00:00:00"/>
    <n v="227828"/>
    <s v="Corporate"/>
    <s v="Insurance Claim"/>
    <x v="3"/>
    <s v="Follow-up"/>
    <n v="2"/>
    <m/>
    <m/>
    <m/>
    <m/>
    <m/>
    <m/>
    <m/>
    <m/>
    <m/>
    <n v="12"/>
    <m/>
    <m/>
    <m/>
    <x v="2"/>
  </r>
  <r>
    <s v="P0525"/>
    <n v="56"/>
    <s v="Male"/>
    <s v="Infection"/>
    <s v="Cardiology"/>
    <s v="Dr. Meena"/>
    <d v="2024-09-05T00:00:00"/>
    <d v="2024-09-06T00:00:00"/>
    <n v="30917"/>
    <s v="Private"/>
    <s v="UPI"/>
    <x v="4"/>
    <s v="Under Treatment"/>
    <n v="5"/>
    <m/>
    <m/>
    <m/>
    <m/>
    <m/>
    <m/>
    <m/>
    <m/>
    <m/>
    <n v="9"/>
    <m/>
    <m/>
    <m/>
    <x v="1"/>
  </r>
  <r>
    <s v="P0526"/>
    <n v="47"/>
    <s v="Male"/>
    <s v="Respiratory"/>
    <s v="Neurology"/>
    <s v="Dr. Meena"/>
    <d v="2024-02-26T00:00:00"/>
    <d v="2024-03-05T00:00:00"/>
    <n v="209069"/>
    <s v="None"/>
    <s v="Insurance Claim"/>
    <x v="2"/>
    <s v="Follow-up"/>
    <n v="5"/>
    <m/>
    <m/>
    <m/>
    <m/>
    <m/>
    <m/>
    <m/>
    <m/>
    <m/>
    <n v="2"/>
    <m/>
    <m/>
    <m/>
    <x v="3"/>
  </r>
  <r>
    <s v="P0527"/>
    <n v="29"/>
    <s v="Male"/>
    <s v="Cancer"/>
    <s v="Pulmonology"/>
    <s v="Dr. Arun"/>
    <d v="2025-09-09T00:00:00"/>
    <d v="2025-09-23T00:00:00"/>
    <n v="133823"/>
    <s v="Government"/>
    <s v="Card"/>
    <x v="2"/>
    <s v="Follow-up"/>
    <n v="5"/>
    <m/>
    <m/>
    <m/>
    <m/>
    <m/>
    <m/>
    <m/>
    <m/>
    <m/>
    <n v="9"/>
    <m/>
    <m/>
    <m/>
    <x v="1"/>
  </r>
  <r>
    <s v="P0528"/>
    <n v="71"/>
    <s v="Female"/>
    <s v="Infection"/>
    <s v="Oncology"/>
    <s v="Dr. Priya"/>
    <d v="2025-03-30T00:00:00"/>
    <d v="2025-04-11T00:00:00"/>
    <n v="19662"/>
    <s v="Corporate"/>
    <s v="Cash"/>
    <x v="3"/>
    <s v="Follow-up"/>
    <n v="3"/>
    <m/>
    <m/>
    <m/>
    <m/>
    <m/>
    <m/>
    <m/>
    <m/>
    <m/>
    <n v="3"/>
    <m/>
    <m/>
    <m/>
    <x v="9"/>
  </r>
  <r>
    <s v="P0529"/>
    <n v="21"/>
    <s v="Male"/>
    <s v="Neurological"/>
    <s v="Orthopedics"/>
    <s v="Dr. Priya"/>
    <d v="2024-11-06T00:00:00"/>
    <d v="2024-11-25T00:00:00"/>
    <n v="11071"/>
    <s v="Government"/>
    <s v="Insurance Claim"/>
    <x v="1"/>
    <s v="Follow-up"/>
    <n v="3"/>
    <m/>
    <m/>
    <m/>
    <m/>
    <m/>
    <m/>
    <m/>
    <m/>
    <m/>
    <n v="11"/>
    <m/>
    <m/>
    <m/>
    <x v="6"/>
  </r>
  <r>
    <s v="P0530"/>
    <n v="83"/>
    <s v="Female"/>
    <s v="Diabetes"/>
    <s v="Oncology"/>
    <s v="Dr. Raj"/>
    <d v="2025-05-23T00:00:00"/>
    <d v="2025-06-08T00:00:00"/>
    <n v="142722"/>
    <s v="Government"/>
    <s v="Cash"/>
    <x v="2"/>
    <s v="Follow-up"/>
    <n v="1"/>
    <m/>
    <m/>
    <m/>
    <m/>
    <m/>
    <m/>
    <m/>
    <m/>
    <m/>
    <n v="5"/>
    <m/>
    <m/>
    <m/>
    <x v="5"/>
  </r>
  <r>
    <s v="P0531"/>
    <n v="35"/>
    <s v="Female"/>
    <s v="Respiratory"/>
    <s v="Neurology"/>
    <s v="Dr. Meena"/>
    <d v="2025-10-05T00:00:00"/>
    <d v="2025-10-20T00:00:00"/>
    <n v="92162"/>
    <s v="None"/>
    <s v="Insurance Claim"/>
    <x v="0"/>
    <s v="Follow-up"/>
    <n v="2"/>
    <m/>
    <m/>
    <m/>
    <m/>
    <m/>
    <m/>
    <m/>
    <m/>
    <m/>
    <n v="10"/>
    <m/>
    <m/>
    <m/>
    <x v="8"/>
  </r>
  <r>
    <s v="P0532"/>
    <n v="41"/>
    <s v="Female"/>
    <s v="Cardiac"/>
    <s v="Orthopedics"/>
    <s v="Dr. Meena"/>
    <d v="2024-06-21T00:00:00"/>
    <d v="2024-06-22T00:00:00"/>
    <n v="76849"/>
    <s v="Private"/>
    <s v="Insurance Claim"/>
    <x v="2"/>
    <s v="Follow-up"/>
    <n v="3"/>
    <m/>
    <m/>
    <m/>
    <m/>
    <m/>
    <m/>
    <m/>
    <m/>
    <m/>
    <n v="6"/>
    <m/>
    <m/>
    <m/>
    <x v="11"/>
  </r>
  <r>
    <s v="P0533"/>
    <n v="25"/>
    <s v="Male"/>
    <s v="Cardiac"/>
    <s v="General Medicine"/>
    <s v="Dr. Kumar"/>
    <d v="2024-03-27T00:00:00"/>
    <d v="2024-04-09T00:00:00"/>
    <n v="154171"/>
    <s v="None"/>
    <s v="Insurance Claim"/>
    <x v="0"/>
    <s v="Under Treatment"/>
    <n v="1"/>
    <m/>
    <m/>
    <m/>
    <m/>
    <m/>
    <m/>
    <m/>
    <m/>
    <m/>
    <n v="3"/>
    <m/>
    <m/>
    <m/>
    <x v="9"/>
  </r>
  <r>
    <s v="P0534"/>
    <n v="49"/>
    <s v="Female"/>
    <s v="Diabetes"/>
    <s v="Cardiology"/>
    <s v="Dr. Priya"/>
    <d v="2025-08-06T00:00:00"/>
    <d v="2025-08-20T00:00:00"/>
    <n v="216025"/>
    <s v="Corporate"/>
    <s v="Cash"/>
    <x v="1"/>
    <s v="Follow-up"/>
    <n v="1"/>
    <m/>
    <m/>
    <m/>
    <m/>
    <m/>
    <m/>
    <m/>
    <m/>
    <m/>
    <n v="8"/>
    <m/>
    <m/>
    <m/>
    <x v="10"/>
  </r>
  <r>
    <s v="P0535"/>
    <n v="61"/>
    <s v="Male"/>
    <s v="Neurological"/>
    <s v="General Medicine"/>
    <s v="Dr. Arun"/>
    <d v="2025-12-19T00:00:00"/>
    <d v="2026-01-07T00:00:00"/>
    <n v="73647"/>
    <s v="Corporate"/>
    <s v="UPI"/>
    <x v="0"/>
    <s v="Under Treatment"/>
    <n v="3"/>
    <m/>
    <m/>
    <m/>
    <m/>
    <m/>
    <m/>
    <m/>
    <m/>
    <m/>
    <n v="12"/>
    <m/>
    <m/>
    <m/>
    <x v="2"/>
  </r>
  <r>
    <s v="P0536"/>
    <n v="32"/>
    <s v="Female"/>
    <s v="Neurological"/>
    <s v="Orthopedics"/>
    <s v="Dr. Meena"/>
    <d v="2025-10-16T00:00:00"/>
    <d v="2025-10-21T00:00:00"/>
    <n v="42984"/>
    <s v="None"/>
    <s v="Insurance Claim"/>
    <x v="2"/>
    <s v="Under Treatment"/>
    <n v="1"/>
    <m/>
    <m/>
    <m/>
    <m/>
    <m/>
    <m/>
    <m/>
    <m/>
    <m/>
    <n v="10"/>
    <m/>
    <m/>
    <m/>
    <x v="8"/>
  </r>
  <r>
    <s v="P0537"/>
    <n v="28"/>
    <s v="Female"/>
    <s v="Orthopedic"/>
    <s v="Oncology"/>
    <s v="Dr. Meena"/>
    <d v="2025-10-06T00:00:00"/>
    <d v="2025-10-26T00:00:00"/>
    <n v="186918"/>
    <s v="Private"/>
    <s v="Cash"/>
    <x v="0"/>
    <s v="Recovered"/>
    <n v="5"/>
    <m/>
    <m/>
    <m/>
    <m/>
    <m/>
    <m/>
    <m/>
    <m/>
    <m/>
    <n v="10"/>
    <m/>
    <m/>
    <m/>
    <x v="8"/>
  </r>
  <r>
    <s v="P0538"/>
    <n v="28"/>
    <s v="Male"/>
    <s v="Cardiac"/>
    <s v="Orthopedics"/>
    <s v="Dr. Kumar"/>
    <d v="2025-01-05T00:00:00"/>
    <d v="2025-01-12T00:00:00"/>
    <n v="7317"/>
    <s v="None"/>
    <s v="UPI"/>
    <x v="3"/>
    <s v="Under Treatment"/>
    <n v="5"/>
    <m/>
    <m/>
    <m/>
    <m/>
    <m/>
    <m/>
    <m/>
    <m/>
    <m/>
    <n v="1"/>
    <m/>
    <m/>
    <m/>
    <x v="4"/>
  </r>
  <r>
    <s v="P0539"/>
    <n v="77"/>
    <s v="Male"/>
    <s v="Neurological"/>
    <s v="Cardiology"/>
    <s v="Dr. Priya"/>
    <d v="2025-01-06T00:00:00"/>
    <d v="2025-01-21T00:00:00"/>
    <n v="64134"/>
    <s v="Corporate"/>
    <s v="Cash"/>
    <x v="1"/>
    <s v="Follow-up"/>
    <n v="2"/>
    <m/>
    <m/>
    <m/>
    <m/>
    <m/>
    <m/>
    <m/>
    <m/>
    <m/>
    <n v="1"/>
    <m/>
    <m/>
    <m/>
    <x v="4"/>
  </r>
  <r>
    <s v="P0540"/>
    <n v="57"/>
    <s v="Male"/>
    <s v="Respiratory"/>
    <s v="Orthopedics"/>
    <s v="Dr. Raj"/>
    <d v="2025-05-07T00:00:00"/>
    <d v="2025-05-17T00:00:00"/>
    <n v="11976"/>
    <s v="Corporate"/>
    <s v="Card"/>
    <x v="1"/>
    <s v="Follow-up"/>
    <n v="4"/>
    <m/>
    <m/>
    <m/>
    <m/>
    <m/>
    <m/>
    <m/>
    <m/>
    <m/>
    <n v="5"/>
    <m/>
    <m/>
    <m/>
    <x v="5"/>
  </r>
  <r>
    <s v="P0541"/>
    <n v="85"/>
    <s v="Male"/>
    <s v="Respiratory"/>
    <s v="General Medicine"/>
    <s v="Dr. Arun"/>
    <d v="2024-08-15T00:00:00"/>
    <d v="2024-08-18T00:00:00"/>
    <n v="235349"/>
    <s v="Corporate"/>
    <s v="Card"/>
    <x v="2"/>
    <s v="Follow-up"/>
    <n v="2"/>
    <m/>
    <m/>
    <m/>
    <m/>
    <m/>
    <m/>
    <m/>
    <m/>
    <m/>
    <n v="8"/>
    <m/>
    <m/>
    <m/>
    <x v="10"/>
  </r>
  <r>
    <s v="P0542"/>
    <n v="85"/>
    <s v="Female"/>
    <s v="Diabetes"/>
    <s v="Cardiology"/>
    <s v="Dr. Priya"/>
    <d v="2025-08-14T00:00:00"/>
    <d v="2025-08-18T00:00:00"/>
    <n v="87679"/>
    <s v="None"/>
    <s v="Cash"/>
    <x v="3"/>
    <s v="Follow-up"/>
    <n v="1"/>
    <m/>
    <m/>
    <m/>
    <m/>
    <m/>
    <m/>
    <m/>
    <m/>
    <m/>
    <n v="8"/>
    <m/>
    <m/>
    <m/>
    <x v="10"/>
  </r>
  <r>
    <s v="P0543"/>
    <n v="71"/>
    <s v="Male"/>
    <s v="Cancer"/>
    <s v="Neurology"/>
    <s v="Dr. Raj"/>
    <d v="2025-04-06T00:00:00"/>
    <d v="2025-04-08T00:00:00"/>
    <n v="14796"/>
    <s v="Corporate"/>
    <s v="Card"/>
    <x v="1"/>
    <s v="Recovered"/>
    <n v="1"/>
    <m/>
    <m/>
    <m/>
    <m/>
    <m/>
    <m/>
    <m/>
    <m/>
    <m/>
    <n v="4"/>
    <m/>
    <m/>
    <m/>
    <x v="0"/>
  </r>
  <r>
    <s v="P0544"/>
    <n v="42"/>
    <s v="Male"/>
    <s v="Cardiac"/>
    <s v="General Medicine"/>
    <s v="Dr. Arun"/>
    <d v="2025-12-28T00:00:00"/>
    <d v="2026-01-01T00:00:00"/>
    <n v="53709"/>
    <s v="Government"/>
    <s v="Card"/>
    <x v="4"/>
    <s v="Under Treatment"/>
    <n v="1"/>
    <m/>
    <m/>
    <m/>
    <m/>
    <m/>
    <m/>
    <m/>
    <m/>
    <m/>
    <n v="12"/>
    <m/>
    <m/>
    <m/>
    <x v="2"/>
  </r>
  <r>
    <s v="P0545"/>
    <n v="57"/>
    <s v="Male"/>
    <s v="Infection"/>
    <s v="Orthopedics"/>
    <s v="Dr. Kumar"/>
    <d v="2024-12-21T00:00:00"/>
    <d v="2025-01-07T00:00:00"/>
    <n v="201097"/>
    <s v="None"/>
    <s v="Insurance Claim"/>
    <x v="0"/>
    <s v="Follow-up"/>
    <n v="3"/>
    <m/>
    <m/>
    <m/>
    <m/>
    <m/>
    <m/>
    <m/>
    <m/>
    <m/>
    <n v="12"/>
    <m/>
    <m/>
    <m/>
    <x v="2"/>
  </r>
  <r>
    <s v="P0546"/>
    <n v="43"/>
    <s v="Female"/>
    <s v="Cancer"/>
    <s v="Orthopedics"/>
    <s v="Dr. Priya"/>
    <d v="2024-05-28T00:00:00"/>
    <d v="2024-06-17T00:00:00"/>
    <n v="232217"/>
    <s v="Government"/>
    <s v="Insurance Claim"/>
    <x v="0"/>
    <s v="Under Treatment"/>
    <n v="4"/>
    <m/>
    <m/>
    <m/>
    <m/>
    <m/>
    <m/>
    <m/>
    <m/>
    <m/>
    <n v="5"/>
    <m/>
    <m/>
    <m/>
    <x v="5"/>
  </r>
  <r>
    <s v="P0547"/>
    <n v="30"/>
    <s v="Female"/>
    <s v="Cardiac"/>
    <s v="Oncology"/>
    <s v="Dr. Meena"/>
    <d v="2025-02-05T00:00:00"/>
    <d v="2025-02-09T00:00:00"/>
    <n v="197781"/>
    <s v="None"/>
    <s v="Cash"/>
    <x v="3"/>
    <s v="Under Treatment"/>
    <n v="5"/>
    <m/>
    <m/>
    <m/>
    <m/>
    <m/>
    <m/>
    <m/>
    <m/>
    <m/>
    <n v="2"/>
    <m/>
    <m/>
    <m/>
    <x v="3"/>
  </r>
  <r>
    <s v="P0548"/>
    <n v="31"/>
    <s v="Female"/>
    <s v="Orthopedic"/>
    <s v="Neurology"/>
    <s v="Dr. Meena"/>
    <d v="2024-12-16T00:00:00"/>
    <d v="2025-01-05T00:00:00"/>
    <n v="60583"/>
    <s v="None"/>
    <s v="UPI"/>
    <x v="2"/>
    <s v="Recovered"/>
    <n v="2"/>
    <m/>
    <m/>
    <m/>
    <m/>
    <m/>
    <m/>
    <m/>
    <m/>
    <m/>
    <n v="12"/>
    <m/>
    <m/>
    <m/>
    <x v="2"/>
  </r>
  <r>
    <s v="P0549"/>
    <n v="79"/>
    <s v="Male"/>
    <s v="Infection"/>
    <s v="Cardiology"/>
    <s v="Dr. Kumar"/>
    <d v="2025-08-29T00:00:00"/>
    <d v="2025-09-06T00:00:00"/>
    <n v="173068"/>
    <s v="Government"/>
    <s v="Insurance Claim"/>
    <x v="1"/>
    <s v="Recovered"/>
    <n v="5"/>
    <m/>
    <m/>
    <m/>
    <m/>
    <m/>
    <m/>
    <m/>
    <m/>
    <m/>
    <n v="8"/>
    <m/>
    <m/>
    <m/>
    <x v="10"/>
  </r>
  <r>
    <s v="P0550"/>
    <n v="27"/>
    <s v="Female"/>
    <s v="Respiratory"/>
    <s v="Oncology"/>
    <s v="Dr. Arun"/>
    <d v="2025-10-03T00:00:00"/>
    <d v="2025-10-09T00:00:00"/>
    <n v="150411"/>
    <s v="Private"/>
    <s v="Card"/>
    <x v="3"/>
    <s v="Recovered"/>
    <n v="1"/>
    <m/>
    <m/>
    <m/>
    <m/>
    <m/>
    <m/>
    <m/>
    <m/>
    <m/>
    <n v="10"/>
    <m/>
    <m/>
    <m/>
    <x v="8"/>
  </r>
  <r>
    <s v="P0551"/>
    <n v="71"/>
    <s v="Female"/>
    <s v="Infection"/>
    <s v="Orthopedics"/>
    <s v="Dr. Kumar"/>
    <d v="2025-05-10T00:00:00"/>
    <d v="2025-05-21T00:00:00"/>
    <n v="217234"/>
    <s v="Private"/>
    <s v="Card"/>
    <x v="1"/>
    <s v="Recovered"/>
    <n v="4"/>
    <m/>
    <m/>
    <m/>
    <m/>
    <m/>
    <m/>
    <m/>
    <m/>
    <m/>
    <n v="5"/>
    <m/>
    <m/>
    <m/>
    <x v="5"/>
  </r>
  <r>
    <s v="P0552"/>
    <n v="63"/>
    <s v="Male"/>
    <s v="Cardiac"/>
    <s v="General Medicine"/>
    <s v="Dr. Meena"/>
    <d v="2024-01-11T00:00:00"/>
    <d v="2024-01-29T00:00:00"/>
    <n v="182430"/>
    <s v="Government"/>
    <s v="Insurance Claim"/>
    <x v="2"/>
    <s v="Follow-up"/>
    <n v="2"/>
    <m/>
    <m/>
    <m/>
    <m/>
    <m/>
    <m/>
    <m/>
    <m/>
    <m/>
    <n v="1"/>
    <m/>
    <m/>
    <m/>
    <x v="4"/>
  </r>
  <r>
    <s v="P0553"/>
    <n v="51"/>
    <s v="Female"/>
    <s v="Diabetes"/>
    <s v="Orthopedics"/>
    <s v="Dr. Kumar"/>
    <d v="2024-07-21T00:00:00"/>
    <d v="2024-08-05T00:00:00"/>
    <n v="198388"/>
    <s v="Private"/>
    <s v="Cash"/>
    <x v="1"/>
    <s v="Recovered"/>
    <n v="2"/>
    <m/>
    <m/>
    <m/>
    <m/>
    <m/>
    <m/>
    <m/>
    <m/>
    <m/>
    <n v="7"/>
    <m/>
    <m/>
    <m/>
    <x v="7"/>
  </r>
  <r>
    <s v="P0554"/>
    <n v="73"/>
    <s v="Female"/>
    <s v="Diabetes"/>
    <s v="Oncology"/>
    <s v="Dr. Meena"/>
    <d v="2024-03-16T00:00:00"/>
    <d v="2024-04-01T00:00:00"/>
    <n v="107390"/>
    <s v="Private"/>
    <s v="Insurance Claim"/>
    <x v="0"/>
    <s v="Follow-up"/>
    <n v="4"/>
    <m/>
    <m/>
    <m/>
    <m/>
    <m/>
    <m/>
    <m/>
    <m/>
    <m/>
    <n v="3"/>
    <m/>
    <m/>
    <m/>
    <x v="9"/>
  </r>
  <r>
    <s v="P0555"/>
    <n v="45"/>
    <s v="Female"/>
    <s v="Neurological"/>
    <s v="Orthopedics"/>
    <s v="Dr. Raj"/>
    <d v="2025-05-16T00:00:00"/>
    <d v="2025-06-02T00:00:00"/>
    <n v="243333"/>
    <s v="Corporate"/>
    <s v="UPI"/>
    <x v="3"/>
    <s v="Follow-up"/>
    <n v="4"/>
    <m/>
    <m/>
    <m/>
    <m/>
    <m/>
    <m/>
    <m/>
    <m/>
    <m/>
    <n v="5"/>
    <m/>
    <m/>
    <m/>
    <x v="5"/>
  </r>
  <r>
    <s v="P0556"/>
    <n v="65"/>
    <s v="Female"/>
    <s v="Diabetes"/>
    <s v="Pulmonology"/>
    <s v="Dr. Raj"/>
    <d v="2025-06-26T00:00:00"/>
    <d v="2025-07-11T00:00:00"/>
    <n v="177805"/>
    <s v="None"/>
    <s v="Insurance Claim"/>
    <x v="2"/>
    <s v="Follow-up"/>
    <n v="3"/>
    <m/>
    <m/>
    <m/>
    <m/>
    <m/>
    <m/>
    <m/>
    <m/>
    <m/>
    <n v="6"/>
    <m/>
    <m/>
    <m/>
    <x v="11"/>
  </r>
  <r>
    <s v="P0557"/>
    <n v="30"/>
    <s v="Male"/>
    <s v="Respiratory"/>
    <s v="Oncology"/>
    <s v="Dr. Priya"/>
    <d v="2024-08-17T00:00:00"/>
    <d v="2024-09-03T00:00:00"/>
    <n v="78888"/>
    <s v="None"/>
    <s v="Card"/>
    <x v="3"/>
    <s v="Follow-up"/>
    <n v="4"/>
    <m/>
    <m/>
    <m/>
    <m/>
    <m/>
    <m/>
    <m/>
    <m/>
    <m/>
    <n v="8"/>
    <m/>
    <m/>
    <m/>
    <x v="10"/>
  </r>
  <r>
    <s v="P0558"/>
    <n v="38"/>
    <s v="Female"/>
    <s v="Neurological"/>
    <s v="Orthopedics"/>
    <s v="Dr. Raj"/>
    <d v="2025-05-05T00:00:00"/>
    <d v="2025-05-22T00:00:00"/>
    <n v="23122"/>
    <s v="Government"/>
    <s v="UPI"/>
    <x v="1"/>
    <s v="Under Treatment"/>
    <n v="4"/>
    <m/>
    <m/>
    <m/>
    <m/>
    <m/>
    <m/>
    <m/>
    <m/>
    <m/>
    <n v="5"/>
    <m/>
    <m/>
    <m/>
    <x v="5"/>
  </r>
  <r>
    <s v="P0559"/>
    <n v="71"/>
    <s v="Male"/>
    <s v="Respiratory"/>
    <s v="Pulmonology"/>
    <s v="Dr. Priya"/>
    <d v="2025-03-11T00:00:00"/>
    <d v="2025-03-29T00:00:00"/>
    <n v="103836"/>
    <s v="Private"/>
    <s v="Cash"/>
    <x v="4"/>
    <s v="Recovered"/>
    <n v="5"/>
    <m/>
    <m/>
    <m/>
    <m/>
    <m/>
    <m/>
    <m/>
    <m/>
    <m/>
    <n v="3"/>
    <m/>
    <m/>
    <m/>
    <x v="9"/>
  </r>
  <r>
    <s v="P0560"/>
    <n v="67"/>
    <s v="Male"/>
    <s v="Diabetes"/>
    <s v="Cardiology"/>
    <s v="Dr. Priya"/>
    <d v="2024-09-04T00:00:00"/>
    <d v="2024-09-10T00:00:00"/>
    <n v="147116"/>
    <s v="Government"/>
    <s v="UPI"/>
    <x v="1"/>
    <s v="Recovered"/>
    <n v="3"/>
    <m/>
    <m/>
    <m/>
    <m/>
    <m/>
    <m/>
    <m/>
    <m/>
    <m/>
    <n v="9"/>
    <m/>
    <m/>
    <m/>
    <x v="1"/>
  </r>
  <r>
    <s v="P0561"/>
    <n v="18"/>
    <s v="Female"/>
    <s v="Respiratory"/>
    <s v="Pulmonology"/>
    <s v="Dr. Meena"/>
    <d v="2025-11-10T00:00:00"/>
    <d v="2025-11-19T00:00:00"/>
    <n v="10422"/>
    <s v="Private"/>
    <s v="UPI"/>
    <x v="1"/>
    <s v="Follow-up"/>
    <n v="1"/>
    <m/>
    <m/>
    <m/>
    <m/>
    <m/>
    <m/>
    <m/>
    <m/>
    <m/>
    <n v="11"/>
    <m/>
    <m/>
    <m/>
    <x v="6"/>
  </r>
  <r>
    <s v="P0562"/>
    <n v="45"/>
    <s v="Male"/>
    <s v="Infection"/>
    <s v="Oncology"/>
    <s v="Dr. Priya"/>
    <d v="2024-07-21T00:00:00"/>
    <d v="2024-08-10T00:00:00"/>
    <n v="35518"/>
    <s v="None"/>
    <s v="Cash"/>
    <x v="3"/>
    <s v="Recovered"/>
    <n v="1"/>
    <m/>
    <m/>
    <m/>
    <m/>
    <m/>
    <m/>
    <m/>
    <m/>
    <m/>
    <n v="7"/>
    <m/>
    <m/>
    <m/>
    <x v="7"/>
  </r>
  <r>
    <s v="P0563"/>
    <n v="35"/>
    <s v="Female"/>
    <s v="Orthopedic"/>
    <s v="Neurology"/>
    <s v="Dr. Priya"/>
    <d v="2024-07-06T00:00:00"/>
    <d v="2024-07-18T00:00:00"/>
    <n v="65370"/>
    <s v="None"/>
    <s v="Cash"/>
    <x v="2"/>
    <s v="Under Treatment"/>
    <n v="1"/>
    <m/>
    <m/>
    <m/>
    <m/>
    <m/>
    <m/>
    <m/>
    <m/>
    <m/>
    <n v="7"/>
    <m/>
    <m/>
    <m/>
    <x v="7"/>
  </r>
  <r>
    <s v="P0564"/>
    <n v="36"/>
    <s v="Male"/>
    <s v="Orthopedic"/>
    <s v="Cardiology"/>
    <s v="Dr. Raj"/>
    <d v="2024-05-28T00:00:00"/>
    <d v="2024-06-15T00:00:00"/>
    <n v="131115"/>
    <s v="Government"/>
    <s v="Insurance Claim"/>
    <x v="2"/>
    <s v="Recovered"/>
    <n v="4"/>
    <m/>
    <m/>
    <m/>
    <m/>
    <m/>
    <m/>
    <m/>
    <m/>
    <m/>
    <n v="5"/>
    <m/>
    <m/>
    <m/>
    <x v="5"/>
  </r>
  <r>
    <s v="P0565"/>
    <n v="46"/>
    <s v="Female"/>
    <s v="Neurological"/>
    <s v="General Medicine"/>
    <s v="Dr. Arun"/>
    <d v="2024-12-04T00:00:00"/>
    <d v="2024-12-10T00:00:00"/>
    <n v="102058"/>
    <s v="Corporate"/>
    <s v="Card"/>
    <x v="4"/>
    <s v="Under Treatment"/>
    <n v="1"/>
    <m/>
    <m/>
    <m/>
    <m/>
    <m/>
    <m/>
    <m/>
    <m/>
    <m/>
    <n v="12"/>
    <m/>
    <m/>
    <m/>
    <x v="2"/>
  </r>
  <r>
    <s v="P0566"/>
    <n v="32"/>
    <s v="Male"/>
    <s v="Neurological"/>
    <s v="General Medicine"/>
    <s v="Dr. Arun"/>
    <d v="2024-07-17T00:00:00"/>
    <d v="2024-08-03T00:00:00"/>
    <n v="199309"/>
    <s v="Government"/>
    <s v="UPI"/>
    <x v="0"/>
    <s v="Recovered"/>
    <n v="1"/>
    <m/>
    <m/>
    <m/>
    <m/>
    <m/>
    <m/>
    <m/>
    <m/>
    <m/>
    <n v="7"/>
    <m/>
    <m/>
    <m/>
    <x v="7"/>
  </r>
  <r>
    <s v="P0567"/>
    <n v="45"/>
    <s v="Male"/>
    <s v="Cancer"/>
    <s v="Orthopedics"/>
    <s v="Dr. Priya"/>
    <d v="2025-05-06T00:00:00"/>
    <d v="2025-05-23T00:00:00"/>
    <n v="20545"/>
    <s v="Government"/>
    <s v="Insurance Claim"/>
    <x v="1"/>
    <s v="Follow-up"/>
    <n v="4"/>
    <m/>
    <m/>
    <m/>
    <m/>
    <m/>
    <m/>
    <m/>
    <m/>
    <m/>
    <n v="5"/>
    <m/>
    <m/>
    <m/>
    <x v="5"/>
  </r>
  <r>
    <s v="P0568"/>
    <n v="68"/>
    <s v="Male"/>
    <s v="Infection"/>
    <s v="Pulmonology"/>
    <s v="Dr. Meena"/>
    <d v="2025-12-09T00:00:00"/>
    <d v="2025-12-21T00:00:00"/>
    <n v="107793"/>
    <s v="Private"/>
    <s v="Cash"/>
    <x v="4"/>
    <s v="Follow-up"/>
    <n v="4"/>
    <m/>
    <m/>
    <m/>
    <m/>
    <m/>
    <m/>
    <m/>
    <m/>
    <m/>
    <n v="12"/>
    <m/>
    <m/>
    <m/>
    <x v="2"/>
  </r>
  <r>
    <s v="P0569"/>
    <n v="70"/>
    <s v="Female"/>
    <s v="Orthopedic"/>
    <s v="Neurology"/>
    <s v="Dr. Raj"/>
    <d v="2025-04-09T00:00:00"/>
    <d v="2025-04-11T00:00:00"/>
    <n v="177871"/>
    <s v="None"/>
    <s v="Insurance Claim"/>
    <x v="3"/>
    <s v="Under Treatment"/>
    <n v="2"/>
    <m/>
    <m/>
    <m/>
    <m/>
    <m/>
    <m/>
    <m/>
    <m/>
    <m/>
    <n v="4"/>
    <m/>
    <m/>
    <m/>
    <x v="0"/>
  </r>
  <r>
    <s v="P0570"/>
    <n v="76"/>
    <s v="Male"/>
    <s v="Respiratory"/>
    <s v="General Medicine"/>
    <s v="Dr. Arun"/>
    <d v="2024-03-12T00:00:00"/>
    <d v="2024-03-25T00:00:00"/>
    <n v="55022"/>
    <s v="Corporate"/>
    <s v="Cash"/>
    <x v="1"/>
    <s v="Recovered"/>
    <n v="4"/>
    <m/>
    <m/>
    <m/>
    <m/>
    <m/>
    <m/>
    <m/>
    <m/>
    <m/>
    <n v="3"/>
    <m/>
    <m/>
    <m/>
    <x v="9"/>
  </r>
  <r>
    <s v="P0571"/>
    <n v="29"/>
    <s v="Male"/>
    <s v="Cancer"/>
    <s v="Orthopedics"/>
    <s v="Dr. Kumar"/>
    <d v="2025-03-18T00:00:00"/>
    <d v="2025-03-22T00:00:00"/>
    <n v="124130"/>
    <s v="Corporate"/>
    <s v="Card"/>
    <x v="4"/>
    <s v="Follow-up"/>
    <n v="5"/>
    <m/>
    <m/>
    <m/>
    <m/>
    <m/>
    <m/>
    <m/>
    <m/>
    <m/>
    <n v="3"/>
    <m/>
    <m/>
    <m/>
    <x v="9"/>
  </r>
  <r>
    <s v="P0572"/>
    <n v="46"/>
    <s v="Male"/>
    <s v="Respiratory"/>
    <s v="Cardiology"/>
    <s v="Dr. Arun"/>
    <d v="2024-09-10T00:00:00"/>
    <d v="2024-09-12T00:00:00"/>
    <n v="187657"/>
    <s v="Private"/>
    <s v="Insurance Claim"/>
    <x v="4"/>
    <s v="Follow-up"/>
    <n v="2"/>
    <m/>
    <m/>
    <m/>
    <m/>
    <m/>
    <m/>
    <m/>
    <m/>
    <m/>
    <n v="9"/>
    <m/>
    <m/>
    <m/>
    <x v="1"/>
  </r>
  <r>
    <s v="P0573"/>
    <n v="72"/>
    <s v="Male"/>
    <s v="Respiratory"/>
    <s v="Neurology"/>
    <s v="Dr. Kumar"/>
    <d v="2025-10-31T00:00:00"/>
    <d v="2025-11-12T00:00:00"/>
    <n v="223242"/>
    <s v="Government"/>
    <s v="Card"/>
    <x v="4"/>
    <s v="Recovered"/>
    <n v="3"/>
    <m/>
    <m/>
    <m/>
    <m/>
    <m/>
    <m/>
    <m/>
    <m/>
    <m/>
    <n v="10"/>
    <m/>
    <m/>
    <m/>
    <x v="8"/>
  </r>
  <r>
    <s v="P0574"/>
    <n v="85"/>
    <s v="Female"/>
    <s v="Neurological"/>
    <s v="General Medicine"/>
    <s v="Dr. Meena"/>
    <d v="2024-03-06T00:00:00"/>
    <d v="2024-03-24T00:00:00"/>
    <n v="11531"/>
    <s v="Government"/>
    <s v="Cash"/>
    <x v="0"/>
    <s v="Recovered"/>
    <n v="1"/>
    <m/>
    <m/>
    <m/>
    <m/>
    <m/>
    <m/>
    <m/>
    <m/>
    <m/>
    <n v="3"/>
    <m/>
    <m/>
    <m/>
    <x v="9"/>
  </r>
  <r>
    <s v="P0575"/>
    <n v="31"/>
    <s v="Female"/>
    <s v="Infection"/>
    <s v="Oncology"/>
    <s v="Dr. Priya"/>
    <d v="2025-07-20T00:00:00"/>
    <d v="2025-07-24T00:00:00"/>
    <n v="127235"/>
    <s v="Government"/>
    <s v="UPI"/>
    <x v="0"/>
    <s v="Under Treatment"/>
    <n v="5"/>
    <m/>
    <m/>
    <m/>
    <m/>
    <m/>
    <m/>
    <m/>
    <m/>
    <m/>
    <n v="7"/>
    <m/>
    <m/>
    <m/>
    <x v="7"/>
  </r>
  <r>
    <s v="P0576"/>
    <n v="79"/>
    <s v="Male"/>
    <s v="Diabetes"/>
    <s v="Cardiology"/>
    <s v="Dr. Raj"/>
    <d v="2025-02-19T00:00:00"/>
    <d v="2025-03-02T00:00:00"/>
    <n v="231363"/>
    <s v="Corporate"/>
    <s v="UPI"/>
    <x v="0"/>
    <s v="Under Treatment"/>
    <n v="4"/>
    <m/>
    <m/>
    <m/>
    <m/>
    <m/>
    <m/>
    <m/>
    <m/>
    <m/>
    <n v="2"/>
    <m/>
    <m/>
    <m/>
    <x v="3"/>
  </r>
  <r>
    <s v="P0577"/>
    <n v="54"/>
    <s v="Female"/>
    <s v="Respiratory"/>
    <s v="Orthopedics"/>
    <s v="Dr. Kumar"/>
    <d v="2024-04-26T00:00:00"/>
    <d v="2024-04-27T00:00:00"/>
    <n v="20668"/>
    <s v="Corporate"/>
    <s v="UPI"/>
    <x v="4"/>
    <s v="Recovered"/>
    <n v="1"/>
    <m/>
    <m/>
    <m/>
    <m/>
    <m/>
    <m/>
    <m/>
    <m/>
    <m/>
    <n v="4"/>
    <m/>
    <m/>
    <m/>
    <x v="0"/>
  </r>
  <r>
    <s v="P0578"/>
    <n v="49"/>
    <s v="Male"/>
    <s v="Diabetes"/>
    <s v="Cardiology"/>
    <s v="Dr. Priya"/>
    <d v="2024-04-07T00:00:00"/>
    <d v="2024-04-13T00:00:00"/>
    <n v="44328"/>
    <s v="None"/>
    <s v="Card"/>
    <x v="3"/>
    <s v="Recovered"/>
    <n v="4"/>
    <m/>
    <m/>
    <m/>
    <m/>
    <m/>
    <m/>
    <m/>
    <m/>
    <m/>
    <n v="4"/>
    <m/>
    <m/>
    <m/>
    <x v="0"/>
  </r>
  <r>
    <s v="P0579"/>
    <n v="24"/>
    <s v="Male"/>
    <s v="Diabetes"/>
    <s v="General Medicine"/>
    <s v="Dr. Priya"/>
    <d v="2025-01-02T00:00:00"/>
    <d v="2025-01-09T00:00:00"/>
    <n v="222571"/>
    <s v="Private"/>
    <s v="Cash"/>
    <x v="2"/>
    <s v="Recovered"/>
    <n v="3"/>
    <m/>
    <m/>
    <m/>
    <m/>
    <m/>
    <m/>
    <m/>
    <m/>
    <m/>
    <n v="1"/>
    <m/>
    <m/>
    <m/>
    <x v="4"/>
  </r>
  <r>
    <s v="P0580"/>
    <n v="23"/>
    <s v="Female"/>
    <s v="Cardiac"/>
    <s v="Oncology"/>
    <s v="Dr. Raj"/>
    <d v="2024-06-15T00:00:00"/>
    <d v="2024-06-16T00:00:00"/>
    <n v="159048"/>
    <s v="Private"/>
    <s v="Cash"/>
    <x v="1"/>
    <s v="Under Treatment"/>
    <n v="1"/>
    <m/>
    <m/>
    <m/>
    <m/>
    <m/>
    <m/>
    <m/>
    <m/>
    <m/>
    <n v="6"/>
    <m/>
    <m/>
    <m/>
    <x v="11"/>
  </r>
  <r>
    <s v="P0581"/>
    <n v="83"/>
    <s v="Male"/>
    <s v="Cancer"/>
    <s v="Orthopedics"/>
    <s v="Dr. Raj"/>
    <d v="2024-09-12T00:00:00"/>
    <d v="2024-09-28T00:00:00"/>
    <n v="138379"/>
    <s v="None"/>
    <s v="Insurance Claim"/>
    <x v="0"/>
    <s v="Follow-up"/>
    <n v="4"/>
    <m/>
    <m/>
    <m/>
    <m/>
    <m/>
    <m/>
    <m/>
    <m/>
    <m/>
    <n v="9"/>
    <m/>
    <m/>
    <m/>
    <x v="1"/>
  </r>
  <r>
    <s v="P0582"/>
    <n v="28"/>
    <s v="Male"/>
    <s v="Neurological"/>
    <s v="Pulmonology"/>
    <s v="Dr. Priya"/>
    <d v="2024-04-14T00:00:00"/>
    <d v="2024-05-02T00:00:00"/>
    <n v="167400"/>
    <s v="Private"/>
    <s v="UPI"/>
    <x v="1"/>
    <s v="Follow-up"/>
    <n v="3"/>
    <m/>
    <m/>
    <m/>
    <m/>
    <m/>
    <m/>
    <m/>
    <m/>
    <m/>
    <n v="4"/>
    <m/>
    <m/>
    <m/>
    <x v="0"/>
  </r>
  <r>
    <s v="P0583"/>
    <n v="35"/>
    <s v="Female"/>
    <s v="Cardiac"/>
    <s v="Pulmonology"/>
    <s v="Dr. Arun"/>
    <d v="2024-06-15T00:00:00"/>
    <d v="2024-06-18T00:00:00"/>
    <n v="197666"/>
    <s v="Private"/>
    <s v="UPI"/>
    <x v="0"/>
    <s v="Under Treatment"/>
    <n v="5"/>
    <m/>
    <m/>
    <m/>
    <m/>
    <m/>
    <m/>
    <m/>
    <m/>
    <m/>
    <n v="6"/>
    <m/>
    <m/>
    <m/>
    <x v="11"/>
  </r>
  <r>
    <s v="P0584"/>
    <n v="51"/>
    <s v="Male"/>
    <s v="Cancer"/>
    <s v="Cardiology"/>
    <s v="Dr. Raj"/>
    <d v="2024-07-31T00:00:00"/>
    <d v="2024-08-18T00:00:00"/>
    <n v="213722"/>
    <s v="Government"/>
    <s v="Card"/>
    <x v="0"/>
    <s v="Recovered"/>
    <n v="5"/>
    <m/>
    <m/>
    <m/>
    <m/>
    <m/>
    <m/>
    <m/>
    <m/>
    <m/>
    <n v="7"/>
    <m/>
    <m/>
    <m/>
    <x v="7"/>
  </r>
  <r>
    <s v="P0585"/>
    <n v="37"/>
    <s v="Male"/>
    <s v="Cardiac"/>
    <s v="Oncology"/>
    <s v="Dr. Meena"/>
    <d v="2025-02-25T00:00:00"/>
    <d v="2025-03-03T00:00:00"/>
    <n v="80669"/>
    <s v="Government"/>
    <s v="Card"/>
    <x v="4"/>
    <s v="Under Treatment"/>
    <n v="1"/>
    <m/>
    <m/>
    <m/>
    <m/>
    <m/>
    <m/>
    <m/>
    <m/>
    <m/>
    <n v="2"/>
    <m/>
    <m/>
    <m/>
    <x v="3"/>
  </r>
  <r>
    <s v="P0586"/>
    <n v="32"/>
    <s v="Male"/>
    <s v="Neurological"/>
    <s v="Neurology"/>
    <s v="Dr. Raj"/>
    <d v="2025-10-13T00:00:00"/>
    <d v="2025-10-14T00:00:00"/>
    <n v="54058"/>
    <s v="Corporate"/>
    <s v="Card"/>
    <x v="3"/>
    <s v="Follow-up"/>
    <n v="1"/>
    <m/>
    <m/>
    <m/>
    <m/>
    <m/>
    <m/>
    <m/>
    <m/>
    <m/>
    <n v="10"/>
    <m/>
    <m/>
    <m/>
    <x v="8"/>
  </r>
  <r>
    <s v="P0587"/>
    <n v="21"/>
    <s v="Female"/>
    <s v="Respiratory"/>
    <s v="Orthopedics"/>
    <s v="Dr. Meena"/>
    <d v="2025-02-10T00:00:00"/>
    <d v="2025-02-19T00:00:00"/>
    <n v="243526"/>
    <s v="Government"/>
    <s v="UPI"/>
    <x v="0"/>
    <s v="Follow-up"/>
    <n v="4"/>
    <m/>
    <m/>
    <m/>
    <m/>
    <m/>
    <m/>
    <m/>
    <m/>
    <m/>
    <n v="2"/>
    <m/>
    <m/>
    <m/>
    <x v="3"/>
  </r>
  <r>
    <s v="P0588"/>
    <n v="82"/>
    <s v="Male"/>
    <s v="Neurological"/>
    <s v="General Medicine"/>
    <s v="Dr. Kumar"/>
    <d v="2025-11-27T00:00:00"/>
    <d v="2025-12-02T00:00:00"/>
    <n v="52140"/>
    <s v="Corporate"/>
    <s v="Card"/>
    <x v="2"/>
    <s v="Follow-up"/>
    <n v="4"/>
    <m/>
    <m/>
    <m/>
    <m/>
    <m/>
    <m/>
    <m/>
    <m/>
    <m/>
    <n v="11"/>
    <m/>
    <m/>
    <m/>
    <x v="6"/>
  </r>
  <r>
    <s v="P0589"/>
    <n v="54"/>
    <s v="Female"/>
    <s v="Cardiac"/>
    <s v="Neurology"/>
    <s v="Dr. Kumar"/>
    <d v="2024-07-12T00:00:00"/>
    <d v="2024-07-22T00:00:00"/>
    <n v="79454"/>
    <s v="Corporate"/>
    <s v="UPI"/>
    <x v="1"/>
    <s v="Under Treatment"/>
    <n v="2"/>
    <m/>
    <m/>
    <m/>
    <m/>
    <m/>
    <m/>
    <m/>
    <m/>
    <m/>
    <n v="7"/>
    <m/>
    <m/>
    <m/>
    <x v="7"/>
  </r>
  <r>
    <s v="P0590"/>
    <n v="48"/>
    <s v="Male"/>
    <s v="Diabetes"/>
    <s v="Pulmonology"/>
    <s v="Dr. Kumar"/>
    <d v="2024-05-06T00:00:00"/>
    <d v="2024-05-22T00:00:00"/>
    <n v="190572"/>
    <s v="Private"/>
    <s v="Card"/>
    <x v="3"/>
    <s v="Recovered"/>
    <n v="3"/>
    <m/>
    <m/>
    <m/>
    <m/>
    <m/>
    <m/>
    <m/>
    <m/>
    <m/>
    <n v="5"/>
    <m/>
    <m/>
    <m/>
    <x v="5"/>
  </r>
  <r>
    <s v="P0591"/>
    <n v="26"/>
    <s v="Male"/>
    <s v="Orthopedic"/>
    <s v="Cardiology"/>
    <s v="Dr. Kumar"/>
    <d v="2025-03-22T00:00:00"/>
    <d v="2025-03-25T00:00:00"/>
    <n v="224224"/>
    <s v="Corporate"/>
    <s v="Cash"/>
    <x v="3"/>
    <s v="Under Treatment"/>
    <n v="3"/>
    <m/>
    <m/>
    <m/>
    <m/>
    <m/>
    <m/>
    <m/>
    <m/>
    <m/>
    <n v="3"/>
    <m/>
    <m/>
    <m/>
    <x v="9"/>
  </r>
  <r>
    <s v="P0592"/>
    <n v="69"/>
    <s v="Female"/>
    <s v="Cancer"/>
    <s v="Orthopedics"/>
    <s v="Dr. Arun"/>
    <d v="2025-05-03T00:00:00"/>
    <d v="2025-05-20T00:00:00"/>
    <n v="137442"/>
    <s v="Government"/>
    <s v="Card"/>
    <x v="4"/>
    <s v="Under Treatment"/>
    <n v="2"/>
    <m/>
    <m/>
    <m/>
    <m/>
    <m/>
    <m/>
    <m/>
    <m/>
    <m/>
    <n v="5"/>
    <m/>
    <m/>
    <m/>
    <x v="5"/>
  </r>
  <r>
    <s v="P0593"/>
    <n v="53"/>
    <s v="Female"/>
    <s v="Infection"/>
    <s v="General Medicine"/>
    <s v="Dr. Priya"/>
    <d v="2024-10-19T00:00:00"/>
    <d v="2024-10-27T00:00:00"/>
    <n v="137839"/>
    <s v="Private"/>
    <s v="UPI"/>
    <x v="3"/>
    <s v="Recovered"/>
    <n v="5"/>
    <m/>
    <m/>
    <m/>
    <m/>
    <m/>
    <m/>
    <m/>
    <m/>
    <m/>
    <n v="10"/>
    <m/>
    <m/>
    <m/>
    <x v="8"/>
  </r>
  <r>
    <s v="P0594"/>
    <n v="63"/>
    <s v="Male"/>
    <s v="Neurological"/>
    <s v="General Medicine"/>
    <s v="Dr. Kumar"/>
    <d v="2025-10-12T00:00:00"/>
    <d v="2025-10-17T00:00:00"/>
    <n v="164508"/>
    <s v="Corporate"/>
    <s v="Insurance Claim"/>
    <x v="1"/>
    <s v="Recovered"/>
    <n v="5"/>
    <m/>
    <m/>
    <m/>
    <m/>
    <m/>
    <m/>
    <m/>
    <m/>
    <m/>
    <n v="10"/>
    <m/>
    <m/>
    <m/>
    <x v="8"/>
  </r>
  <r>
    <s v="P0595"/>
    <n v="66"/>
    <s v="Female"/>
    <s v="Neurological"/>
    <s v="Oncology"/>
    <s v="Dr. Meena"/>
    <d v="2025-10-26T00:00:00"/>
    <d v="2025-11-06T00:00:00"/>
    <n v="70604"/>
    <s v="None"/>
    <s v="Insurance Claim"/>
    <x v="1"/>
    <s v="Recovered"/>
    <n v="1"/>
    <m/>
    <m/>
    <m/>
    <m/>
    <m/>
    <m/>
    <m/>
    <m/>
    <m/>
    <n v="10"/>
    <m/>
    <m/>
    <m/>
    <x v="8"/>
  </r>
  <r>
    <s v="P0596"/>
    <n v="37"/>
    <s v="Male"/>
    <s v="Cardiac"/>
    <s v="Cardiology"/>
    <s v="Dr. Raj"/>
    <d v="2025-05-16T00:00:00"/>
    <d v="2025-05-31T00:00:00"/>
    <n v="152446"/>
    <s v="Government"/>
    <s v="Cash"/>
    <x v="1"/>
    <s v="Follow-up"/>
    <n v="3"/>
    <m/>
    <m/>
    <m/>
    <m/>
    <m/>
    <m/>
    <m/>
    <m/>
    <m/>
    <n v="5"/>
    <m/>
    <m/>
    <m/>
    <x v="5"/>
  </r>
  <r>
    <s v="P0597"/>
    <n v="46"/>
    <s v="Male"/>
    <s v="Respiratory"/>
    <s v="Oncology"/>
    <s v="Dr. Raj"/>
    <d v="2024-04-22T00:00:00"/>
    <d v="2024-04-24T00:00:00"/>
    <n v="181750"/>
    <s v="None"/>
    <s v="UPI"/>
    <x v="3"/>
    <s v="Under Treatment"/>
    <n v="5"/>
    <m/>
    <m/>
    <m/>
    <m/>
    <m/>
    <m/>
    <m/>
    <m/>
    <m/>
    <n v="4"/>
    <m/>
    <m/>
    <m/>
    <x v="0"/>
  </r>
  <r>
    <s v="P0598"/>
    <n v="79"/>
    <s v="Male"/>
    <s v="Infection"/>
    <s v="Orthopedics"/>
    <s v="Dr. Arun"/>
    <d v="2024-04-16T00:00:00"/>
    <d v="2024-04-24T00:00:00"/>
    <n v="18644"/>
    <s v="Government"/>
    <s v="UPI"/>
    <x v="4"/>
    <s v="Recovered"/>
    <n v="1"/>
    <m/>
    <m/>
    <m/>
    <m/>
    <m/>
    <m/>
    <m/>
    <m/>
    <m/>
    <n v="4"/>
    <m/>
    <m/>
    <m/>
    <x v="0"/>
  </r>
  <r>
    <s v="P0599"/>
    <n v="68"/>
    <s v="Male"/>
    <s v="Cardiac"/>
    <s v="Neurology"/>
    <s v="Dr. Raj"/>
    <d v="2025-12-13T00:00:00"/>
    <d v="2025-12-31T00:00:00"/>
    <n v="146372"/>
    <s v="Private"/>
    <s v="Cash"/>
    <x v="0"/>
    <s v="Under Treatment"/>
    <n v="1"/>
    <m/>
    <m/>
    <m/>
    <m/>
    <m/>
    <m/>
    <m/>
    <m/>
    <m/>
    <n v="12"/>
    <m/>
    <m/>
    <m/>
    <x v="2"/>
  </r>
  <r>
    <s v="P0600"/>
    <n v="40"/>
    <s v="Female"/>
    <s v="Infection"/>
    <s v="Cardiology"/>
    <s v="Dr. Priya"/>
    <d v="2025-09-11T00:00:00"/>
    <d v="2025-09-16T00:00:00"/>
    <n v="100318"/>
    <s v="Private"/>
    <s v="Card"/>
    <x v="2"/>
    <s v="Recovered"/>
    <n v="2"/>
    <m/>
    <m/>
    <m/>
    <m/>
    <m/>
    <m/>
    <m/>
    <m/>
    <m/>
    <n v="9"/>
    <m/>
    <m/>
    <m/>
    <x v="1"/>
  </r>
  <r>
    <s v="P0601"/>
    <n v="54"/>
    <s v="Male"/>
    <s v="Neurological"/>
    <s v="Cardiology"/>
    <s v="Dr. Raj"/>
    <d v="2025-03-05T00:00:00"/>
    <d v="2025-03-17T00:00:00"/>
    <n v="155816"/>
    <s v="Private"/>
    <s v="Cash"/>
    <x v="3"/>
    <s v="Follow-up"/>
    <n v="4"/>
    <m/>
    <m/>
    <m/>
    <m/>
    <m/>
    <m/>
    <m/>
    <m/>
    <m/>
    <n v="3"/>
    <m/>
    <m/>
    <m/>
    <x v="9"/>
  </r>
  <r>
    <s v="P0602"/>
    <n v="38"/>
    <s v="Male"/>
    <s v="Respiratory"/>
    <s v="Oncology"/>
    <s v="Dr. Priya"/>
    <d v="2025-06-22T00:00:00"/>
    <d v="2025-06-26T00:00:00"/>
    <n v="23979"/>
    <s v="Government"/>
    <s v="Cash"/>
    <x v="2"/>
    <s v="Recovered"/>
    <n v="4"/>
    <m/>
    <m/>
    <m/>
    <m/>
    <m/>
    <m/>
    <m/>
    <m/>
    <m/>
    <n v="6"/>
    <m/>
    <m/>
    <m/>
    <x v="11"/>
  </r>
  <r>
    <s v="P0603"/>
    <n v="43"/>
    <s v="Female"/>
    <s v="Orthopedic"/>
    <s v="Neurology"/>
    <s v="Dr. Priya"/>
    <d v="2024-10-16T00:00:00"/>
    <d v="2024-10-27T00:00:00"/>
    <n v="153529"/>
    <s v="None"/>
    <s v="Cash"/>
    <x v="4"/>
    <s v="Under Treatment"/>
    <n v="4"/>
    <m/>
    <m/>
    <m/>
    <m/>
    <m/>
    <m/>
    <m/>
    <m/>
    <m/>
    <n v="10"/>
    <m/>
    <m/>
    <m/>
    <x v="8"/>
  </r>
  <r>
    <s v="P0604"/>
    <n v="75"/>
    <s v="Female"/>
    <s v="Diabetes"/>
    <s v="General Medicine"/>
    <s v="Dr. Raj"/>
    <d v="2024-08-18T00:00:00"/>
    <d v="2024-09-03T00:00:00"/>
    <n v="118383"/>
    <s v="None"/>
    <s v="Cash"/>
    <x v="3"/>
    <s v="Under Treatment"/>
    <n v="4"/>
    <m/>
    <m/>
    <m/>
    <m/>
    <m/>
    <m/>
    <m/>
    <m/>
    <m/>
    <n v="8"/>
    <m/>
    <m/>
    <m/>
    <x v="10"/>
  </r>
  <r>
    <s v="P0605"/>
    <n v="24"/>
    <s v="Female"/>
    <s v="Neurological"/>
    <s v="Oncology"/>
    <s v="Dr. Arun"/>
    <d v="2025-12-30T00:00:00"/>
    <d v="2026-01-05T00:00:00"/>
    <n v="88099"/>
    <s v="Government"/>
    <s v="Card"/>
    <x v="2"/>
    <s v="Recovered"/>
    <n v="5"/>
    <m/>
    <m/>
    <m/>
    <m/>
    <m/>
    <m/>
    <m/>
    <m/>
    <m/>
    <n v="12"/>
    <m/>
    <m/>
    <m/>
    <x v="2"/>
  </r>
  <r>
    <s v="P0606"/>
    <n v="48"/>
    <s v="Female"/>
    <s v="Diabetes"/>
    <s v="General Medicine"/>
    <s v="Dr. Priya"/>
    <d v="2024-12-13T00:00:00"/>
    <d v="2025-01-01T00:00:00"/>
    <n v="236420"/>
    <s v="None"/>
    <s v="Cash"/>
    <x v="0"/>
    <s v="Under Treatment"/>
    <n v="4"/>
    <m/>
    <m/>
    <m/>
    <m/>
    <m/>
    <m/>
    <m/>
    <m/>
    <m/>
    <n v="12"/>
    <m/>
    <m/>
    <m/>
    <x v="2"/>
  </r>
  <r>
    <s v="P0607"/>
    <n v="44"/>
    <s v="Female"/>
    <s v="Respiratory"/>
    <s v="General Medicine"/>
    <s v="Dr. Meena"/>
    <d v="2025-01-17T00:00:00"/>
    <d v="2025-01-26T00:00:00"/>
    <n v="133368"/>
    <s v="Government"/>
    <s v="Insurance Claim"/>
    <x v="3"/>
    <s v="Under Treatment"/>
    <n v="1"/>
    <m/>
    <m/>
    <m/>
    <m/>
    <m/>
    <m/>
    <m/>
    <m/>
    <m/>
    <n v="1"/>
    <m/>
    <m/>
    <m/>
    <x v="4"/>
  </r>
  <r>
    <s v="P0608"/>
    <n v="29"/>
    <s v="Female"/>
    <s v="Neurological"/>
    <s v="Neurology"/>
    <s v="Dr. Raj"/>
    <d v="2024-12-03T00:00:00"/>
    <d v="2024-12-07T00:00:00"/>
    <n v="212392"/>
    <s v="None"/>
    <s v="Card"/>
    <x v="4"/>
    <s v="Recovered"/>
    <n v="2"/>
    <m/>
    <m/>
    <m/>
    <m/>
    <m/>
    <m/>
    <m/>
    <m/>
    <m/>
    <n v="12"/>
    <m/>
    <m/>
    <m/>
    <x v="2"/>
  </r>
  <r>
    <s v="P0609"/>
    <n v="35"/>
    <s v="Female"/>
    <s v="Cancer"/>
    <s v="Orthopedics"/>
    <s v="Dr. Meena"/>
    <d v="2024-01-21T00:00:00"/>
    <d v="2024-02-10T00:00:00"/>
    <n v="207914"/>
    <s v="Corporate"/>
    <s v="UPI"/>
    <x v="1"/>
    <s v="Follow-up"/>
    <n v="3"/>
    <m/>
    <m/>
    <m/>
    <m/>
    <m/>
    <m/>
    <m/>
    <m/>
    <m/>
    <n v="1"/>
    <m/>
    <m/>
    <m/>
    <x v="4"/>
  </r>
  <r>
    <s v="P0610"/>
    <n v="22"/>
    <s v="Female"/>
    <s v="Cardiac"/>
    <s v="Oncology"/>
    <s v="Dr. Kumar"/>
    <d v="2025-01-24T00:00:00"/>
    <d v="2025-01-29T00:00:00"/>
    <n v="107711"/>
    <s v="Private"/>
    <s v="Cash"/>
    <x v="3"/>
    <s v="Under Treatment"/>
    <n v="4"/>
    <m/>
    <m/>
    <m/>
    <m/>
    <m/>
    <m/>
    <m/>
    <m/>
    <m/>
    <n v="1"/>
    <m/>
    <m/>
    <m/>
    <x v="4"/>
  </r>
  <r>
    <s v="P0611"/>
    <n v="43"/>
    <s v="Male"/>
    <s v="Cancer"/>
    <s v="Oncology"/>
    <s v="Dr. Arun"/>
    <d v="2025-08-04T00:00:00"/>
    <d v="2025-08-05T00:00:00"/>
    <n v="75202"/>
    <s v="Private"/>
    <s v="Card"/>
    <x v="0"/>
    <s v="Recovered"/>
    <n v="1"/>
    <m/>
    <m/>
    <m/>
    <m/>
    <m/>
    <m/>
    <m/>
    <m/>
    <m/>
    <n v="8"/>
    <m/>
    <m/>
    <m/>
    <x v="10"/>
  </r>
  <r>
    <s v="P0612"/>
    <n v="52"/>
    <s v="Male"/>
    <s v="Respiratory"/>
    <s v="Oncology"/>
    <s v="Dr. Priya"/>
    <d v="2024-07-12T00:00:00"/>
    <d v="2024-07-23T00:00:00"/>
    <n v="125217"/>
    <s v="None"/>
    <s v="Cash"/>
    <x v="1"/>
    <s v="Recovered"/>
    <n v="3"/>
    <m/>
    <m/>
    <m/>
    <m/>
    <m/>
    <m/>
    <m/>
    <m/>
    <m/>
    <n v="7"/>
    <m/>
    <m/>
    <m/>
    <x v="7"/>
  </r>
  <r>
    <s v="P0613"/>
    <n v="53"/>
    <s v="Female"/>
    <s v="Neurological"/>
    <s v="Pulmonology"/>
    <s v="Dr. Raj"/>
    <d v="2024-05-22T00:00:00"/>
    <d v="2024-05-28T00:00:00"/>
    <n v="178364"/>
    <s v="Government"/>
    <s v="UPI"/>
    <x v="0"/>
    <s v="Recovered"/>
    <n v="5"/>
    <m/>
    <m/>
    <m/>
    <m/>
    <m/>
    <m/>
    <m/>
    <m/>
    <m/>
    <n v="5"/>
    <m/>
    <m/>
    <m/>
    <x v="5"/>
  </r>
  <r>
    <s v="P0614"/>
    <n v="40"/>
    <s v="Female"/>
    <s v="Cancer"/>
    <s v="Neurology"/>
    <s v="Dr. Priya"/>
    <d v="2025-07-17T00:00:00"/>
    <d v="2025-08-05T00:00:00"/>
    <n v="180397"/>
    <s v="None"/>
    <s v="UPI"/>
    <x v="1"/>
    <s v="Follow-up"/>
    <n v="2"/>
    <m/>
    <m/>
    <m/>
    <m/>
    <m/>
    <m/>
    <m/>
    <m/>
    <m/>
    <n v="7"/>
    <m/>
    <m/>
    <m/>
    <x v="7"/>
  </r>
  <r>
    <s v="P0615"/>
    <n v="60"/>
    <s v="Female"/>
    <s v="Infection"/>
    <s v="Orthopedics"/>
    <s v="Dr. Arun"/>
    <d v="2024-06-11T00:00:00"/>
    <d v="2024-06-25T00:00:00"/>
    <n v="31999"/>
    <s v="Private"/>
    <s v="Cash"/>
    <x v="2"/>
    <s v="Recovered"/>
    <n v="3"/>
    <m/>
    <m/>
    <m/>
    <m/>
    <m/>
    <m/>
    <m/>
    <m/>
    <m/>
    <n v="6"/>
    <m/>
    <m/>
    <m/>
    <x v="11"/>
  </r>
  <r>
    <s v="P0616"/>
    <n v="57"/>
    <s v="Male"/>
    <s v="Respiratory"/>
    <s v="Cardiology"/>
    <s v="Dr. Priya"/>
    <d v="2025-11-23T00:00:00"/>
    <d v="2025-11-30T00:00:00"/>
    <n v="118548"/>
    <s v="Private"/>
    <s v="UPI"/>
    <x v="3"/>
    <s v="Follow-up"/>
    <n v="2"/>
    <m/>
    <m/>
    <m/>
    <m/>
    <m/>
    <m/>
    <m/>
    <m/>
    <m/>
    <n v="11"/>
    <m/>
    <m/>
    <m/>
    <x v="6"/>
  </r>
  <r>
    <s v="P0617"/>
    <n v="59"/>
    <s v="Female"/>
    <s v="Orthopedic"/>
    <s v="General Medicine"/>
    <s v="Dr. Kumar"/>
    <d v="2025-09-14T00:00:00"/>
    <d v="2025-09-25T00:00:00"/>
    <n v="55804"/>
    <s v="None"/>
    <s v="UPI"/>
    <x v="0"/>
    <s v="Recovered"/>
    <n v="3"/>
    <m/>
    <m/>
    <m/>
    <m/>
    <m/>
    <m/>
    <m/>
    <m/>
    <m/>
    <n v="9"/>
    <m/>
    <m/>
    <m/>
    <x v="1"/>
  </r>
  <r>
    <s v="P0618"/>
    <n v="41"/>
    <s v="Male"/>
    <s v="Cardiac"/>
    <s v="Orthopedics"/>
    <s v="Dr. Meena"/>
    <d v="2025-08-20T00:00:00"/>
    <d v="2025-08-26T00:00:00"/>
    <n v="54133"/>
    <s v="Private"/>
    <s v="Cash"/>
    <x v="2"/>
    <s v="Recovered"/>
    <n v="2"/>
    <m/>
    <m/>
    <m/>
    <m/>
    <m/>
    <m/>
    <m/>
    <m/>
    <m/>
    <n v="8"/>
    <m/>
    <m/>
    <m/>
    <x v="10"/>
  </r>
  <r>
    <s v="P0619"/>
    <n v="57"/>
    <s v="Male"/>
    <s v="Infection"/>
    <s v="Orthopedics"/>
    <s v="Dr. Kumar"/>
    <d v="2025-08-19T00:00:00"/>
    <d v="2025-08-25T00:00:00"/>
    <n v="133135"/>
    <s v="Government"/>
    <s v="Card"/>
    <x v="3"/>
    <s v="Follow-up"/>
    <n v="2"/>
    <m/>
    <m/>
    <m/>
    <m/>
    <m/>
    <m/>
    <m/>
    <m/>
    <m/>
    <n v="8"/>
    <m/>
    <m/>
    <m/>
    <x v="10"/>
  </r>
  <r>
    <s v="P0620"/>
    <n v="27"/>
    <s v="Female"/>
    <s v="Cardiac"/>
    <s v="Neurology"/>
    <s v="Dr. Kumar"/>
    <d v="2024-12-29T00:00:00"/>
    <d v="2025-01-18T00:00:00"/>
    <n v="18714"/>
    <s v="Corporate"/>
    <s v="Cash"/>
    <x v="0"/>
    <s v="Follow-up"/>
    <n v="5"/>
    <m/>
    <m/>
    <m/>
    <m/>
    <m/>
    <m/>
    <m/>
    <m/>
    <m/>
    <n v="12"/>
    <m/>
    <m/>
    <m/>
    <x v="2"/>
  </r>
  <r>
    <s v="P0621"/>
    <n v="34"/>
    <s v="Male"/>
    <s v="Diabetes"/>
    <s v="Orthopedics"/>
    <s v="Dr. Kumar"/>
    <d v="2025-09-25T00:00:00"/>
    <d v="2025-10-08T00:00:00"/>
    <n v="187523"/>
    <s v="None"/>
    <s v="UPI"/>
    <x v="4"/>
    <s v="Recovered"/>
    <n v="5"/>
    <m/>
    <m/>
    <m/>
    <m/>
    <m/>
    <m/>
    <m/>
    <m/>
    <m/>
    <n v="9"/>
    <m/>
    <m/>
    <m/>
    <x v="1"/>
  </r>
  <r>
    <s v="P0622"/>
    <n v="67"/>
    <s v="Male"/>
    <s v="Respiratory"/>
    <s v="Pulmonology"/>
    <s v="Dr. Raj"/>
    <d v="2024-10-11T00:00:00"/>
    <d v="2024-10-29T00:00:00"/>
    <n v="34829"/>
    <s v="None"/>
    <s v="UPI"/>
    <x v="3"/>
    <s v="Under Treatment"/>
    <n v="2"/>
    <m/>
    <m/>
    <m/>
    <m/>
    <m/>
    <m/>
    <m/>
    <m/>
    <m/>
    <n v="10"/>
    <m/>
    <m/>
    <m/>
    <x v="8"/>
  </r>
  <r>
    <s v="P0623"/>
    <n v="83"/>
    <s v="Female"/>
    <s v="Infection"/>
    <s v="Orthopedics"/>
    <s v="Dr. Priya"/>
    <d v="2024-01-01T00:00:00"/>
    <d v="2024-01-11T00:00:00"/>
    <n v="159046"/>
    <s v="Private"/>
    <s v="Cash"/>
    <x v="0"/>
    <s v="Under Treatment"/>
    <n v="4"/>
    <m/>
    <m/>
    <m/>
    <m/>
    <m/>
    <m/>
    <m/>
    <m/>
    <m/>
    <n v="1"/>
    <m/>
    <m/>
    <m/>
    <x v="4"/>
  </r>
  <r>
    <s v="P0624"/>
    <n v="84"/>
    <s v="Female"/>
    <s v="Respiratory"/>
    <s v="Pulmonology"/>
    <s v="Dr. Priya"/>
    <d v="2024-10-05T00:00:00"/>
    <d v="2024-10-08T00:00:00"/>
    <n v="21228"/>
    <s v="Corporate"/>
    <s v="UPI"/>
    <x v="3"/>
    <s v="Recovered"/>
    <n v="4"/>
    <m/>
    <m/>
    <m/>
    <m/>
    <m/>
    <m/>
    <m/>
    <m/>
    <m/>
    <n v="10"/>
    <m/>
    <m/>
    <m/>
    <x v="8"/>
  </r>
  <r>
    <s v="P0625"/>
    <n v="45"/>
    <s v="Female"/>
    <s v="Cancer"/>
    <s v="Orthopedics"/>
    <s v="Dr. Arun"/>
    <d v="2025-06-21T00:00:00"/>
    <d v="2025-07-08T00:00:00"/>
    <n v="92603"/>
    <s v="None"/>
    <s v="Insurance Claim"/>
    <x v="3"/>
    <s v="Under Treatment"/>
    <n v="1"/>
    <m/>
    <m/>
    <m/>
    <m/>
    <m/>
    <m/>
    <m/>
    <m/>
    <m/>
    <n v="6"/>
    <m/>
    <m/>
    <m/>
    <x v="11"/>
  </r>
  <r>
    <s v="P0626"/>
    <n v="74"/>
    <s v="Female"/>
    <s v="Orthopedic"/>
    <s v="Cardiology"/>
    <s v="Dr. Meena"/>
    <d v="2024-06-18T00:00:00"/>
    <d v="2024-06-20T00:00:00"/>
    <n v="123018"/>
    <s v="Government"/>
    <s v="Insurance Claim"/>
    <x v="1"/>
    <s v="Follow-up"/>
    <n v="2"/>
    <m/>
    <m/>
    <m/>
    <m/>
    <m/>
    <m/>
    <m/>
    <m/>
    <m/>
    <n v="6"/>
    <m/>
    <m/>
    <m/>
    <x v="11"/>
  </r>
  <r>
    <s v="P0627"/>
    <n v="42"/>
    <s v="Male"/>
    <s v="Neurological"/>
    <s v="Neurology"/>
    <s v="Dr. Kumar"/>
    <d v="2025-09-19T00:00:00"/>
    <d v="2025-09-23T00:00:00"/>
    <n v="54161"/>
    <s v="None"/>
    <s v="UPI"/>
    <x v="3"/>
    <s v="Under Treatment"/>
    <n v="1"/>
    <m/>
    <m/>
    <m/>
    <m/>
    <m/>
    <m/>
    <m/>
    <m/>
    <m/>
    <n v="9"/>
    <m/>
    <m/>
    <m/>
    <x v="1"/>
  </r>
  <r>
    <s v="P0628"/>
    <n v="42"/>
    <s v="Male"/>
    <s v="Infection"/>
    <s v="General Medicine"/>
    <s v="Dr. Arun"/>
    <d v="2025-05-05T00:00:00"/>
    <d v="2025-05-15T00:00:00"/>
    <n v="21072"/>
    <s v="Government"/>
    <s v="Insurance Claim"/>
    <x v="3"/>
    <s v="Under Treatment"/>
    <n v="5"/>
    <m/>
    <m/>
    <m/>
    <m/>
    <m/>
    <m/>
    <m/>
    <m/>
    <m/>
    <n v="5"/>
    <m/>
    <m/>
    <m/>
    <x v="5"/>
  </r>
  <r>
    <s v="P0629"/>
    <n v="51"/>
    <s v="Female"/>
    <s v="Cancer"/>
    <s v="Cardiology"/>
    <s v="Dr. Kumar"/>
    <d v="2025-03-08T00:00:00"/>
    <d v="2025-03-15T00:00:00"/>
    <n v="132429"/>
    <s v="Corporate"/>
    <s v="Cash"/>
    <x v="1"/>
    <s v="Under Treatment"/>
    <n v="2"/>
    <m/>
    <m/>
    <m/>
    <m/>
    <m/>
    <m/>
    <m/>
    <m/>
    <m/>
    <n v="3"/>
    <m/>
    <m/>
    <m/>
    <x v="9"/>
  </r>
  <r>
    <s v="P0630"/>
    <n v="78"/>
    <s v="Male"/>
    <s v="Cardiac"/>
    <s v="Cardiology"/>
    <s v="Dr. Priya"/>
    <d v="2025-07-04T00:00:00"/>
    <d v="2025-07-17T00:00:00"/>
    <n v="106642"/>
    <s v="Private"/>
    <s v="Card"/>
    <x v="0"/>
    <s v="Recovered"/>
    <n v="4"/>
    <m/>
    <m/>
    <m/>
    <m/>
    <m/>
    <m/>
    <m/>
    <m/>
    <m/>
    <n v="7"/>
    <m/>
    <m/>
    <m/>
    <x v="7"/>
  </r>
  <r>
    <s v="P0631"/>
    <n v="36"/>
    <s v="Female"/>
    <s v="Orthopedic"/>
    <s v="Oncology"/>
    <s v="Dr. Kumar"/>
    <d v="2024-08-02T00:00:00"/>
    <d v="2024-08-05T00:00:00"/>
    <n v="141223"/>
    <s v="None"/>
    <s v="Insurance Claim"/>
    <x v="4"/>
    <s v="Recovered"/>
    <n v="5"/>
    <m/>
    <m/>
    <m/>
    <m/>
    <m/>
    <m/>
    <m/>
    <m/>
    <m/>
    <n v="8"/>
    <m/>
    <m/>
    <m/>
    <x v="10"/>
  </r>
  <r>
    <s v="P0632"/>
    <n v="82"/>
    <s v="Male"/>
    <s v="Cancer"/>
    <s v="Orthopedics"/>
    <s v="Dr. Raj"/>
    <d v="2025-01-13T00:00:00"/>
    <d v="2025-01-21T00:00:00"/>
    <n v="16518"/>
    <s v="None"/>
    <s v="Card"/>
    <x v="4"/>
    <s v="Under Treatment"/>
    <n v="2"/>
    <m/>
    <m/>
    <m/>
    <m/>
    <m/>
    <m/>
    <m/>
    <m/>
    <m/>
    <n v="1"/>
    <m/>
    <m/>
    <m/>
    <x v="4"/>
  </r>
  <r>
    <s v="P0633"/>
    <n v="30"/>
    <s v="Male"/>
    <s v="Orthopedic"/>
    <s v="Cardiology"/>
    <s v="Dr. Meena"/>
    <d v="2025-11-02T00:00:00"/>
    <d v="2025-11-12T00:00:00"/>
    <n v="105529"/>
    <s v="Private"/>
    <s v="UPI"/>
    <x v="1"/>
    <s v="Recovered"/>
    <n v="3"/>
    <m/>
    <m/>
    <m/>
    <m/>
    <m/>
    <m/>
    <m/>
    <m/>
    <m/>
    <n v="11"/>
    <m/>
    <m/>
    <m/>
    <x v="6"/>
  </r>
  <r>
    <s v="P0634"/>
    <n v="60"/>
    <s v="Female"/>
    <s v="Cardiac"/>
    <s v="Neurology"/>
    <s v="Dr. Priya"/>
    <d v="2024-12-16T00:00:00"/>
    <d v="2024-12-22T00:00:00"/>
    <n v="138227"/>
    <s v="None"/>
    <s v="Card"/>
    <x v="2"/>
    <s v="Recovered"/>
    <n v="4"/>
    <m/>
    <m/>
    <m/>
    <m/>
    <m/>
    <m/>
    <m/>
    <m/>
    <m/>
    <n v="12"/>
    <m/>
    <m/>
    <m/>
    <x v="2"/>
  </r>
  <r>
    <s v="P0635"/>
    <n v="62"/>
    <s v="Female"/>
    <s v="Cardiac"/>
    <s v="Oncology"/>
    <s v="Dr. Priya"/>
    <d v="2025-10-01T00:00:00"/>
    <d v="2025-10-14T00:00:00"/>
    <n v="149310"/>
    <s v="Government"/>
    <s v="Card"/>
    <x v="1"/>
    <s v="Follow-up"/>
    <n v="3"/>
    <m/>
    <m/>
    <m/>
    <m/>
    <m/>
    <m/>
    <m/>
    <m/>
    <m/>
    <n v="10"/>
    <m/>
    <m/>
    <m/>
    <x v="8"/>
  </r>
  <r>
    <s v="P0636"/>
    <n v="23"/>
    <s v="Female"/>
    <s v="Respiratory"/>
    <s v="Neurology"/>
    <s v="Dr. Arun"/>
    <d v="2025-05-15T00:00:00"/>
    <d v="2025-05-22T00:00:00"/>
    <n v="118718"/>
    <s v="None"/>
    <s v="Card"/>
    <x v="3"/>
    <s v="Under Treatment"/>
    <n v="4"/>
    <m/>
    <m/>
    <m/>
    <m/>
    <m/>
    <m/>
    <m/>
    <m/>
    <m/>
    <n v="5"/>
    <m/>
    <m/>
    <m/>
    <x v="5"/>
  </r>
  <r>
    <s v="P0637"/>
    <n v="26"/>
    <s v="Male"/>
    <s v="Cardiac"/>
    <s v="General Medicine"/>
    <s v="Dr. Arun"/>
    <d v="2024-01-29T00:00:00"/>
    <d v="2024-01-31T00:00:00"/>
    <n v="144283"/>
    <s v="Corporate"/>
    <s v="Cash"/>
    <x v="2"/>
    <s v="Under Treatment"/>
    <n v="3"/>
    <m/>
    <m/>
    <m/>
    <m/>
    <m/>
    <m/>
    <m/>
    <m/>
    <m/>
    <n v="1"/>
    <m/>
    <m/>
    <m/>
    <x v="4"/>
  </r>
  <r>
    <s v="P0638"/>
    <n v="32"/>
    <s v="Female"/>
    <s v="Orthopedic"/>
    <s v="Cardiology"/>
    <s v="Dr. Arun"/>
    <d v="2024-08-27T00:00:00"/>
    <d v="2024-09-03T00:00:00"/>
    <n v="138757"/>
    <s v="Government"/>
    <s v="UPI"/>
    <x v="2"/>
    <s v="Recovered"/>
    <n v="3"/>
    <m/>
    <m/>
    <m/>
    <m/>
    <m/>
    <m/>
    <m/>
    <m/>
    <m/>
    <n v="8"/>
    <m/>
    <m/>
    <m/>
    <x v="10"/>
  </r>
  <r>
    <s v="P0639"/>
    <n v="48"/>
    <s v="Male"/>
    <s v="Diabetes"/>
    <s v="Pulmonology"/>
    <s v="Dr. Priya"/>
    <d v="2025-02-25T00:00:00"/>
    <d v="2025-03-06T00:00:00"/>
    <n v="118350"/>
    <s v="Government"/>
    <s v="Insurance Claim"/>
    <x v="4"/>
    <s v="Under Treatment"/>
    <n v="5"/>
    <m/>
    <m/>
    <m/>
    <m/>
    <m/>
    <m/>
    <m/>
    <m/>
    <m/>
    <n v="2"/>
    <m/>
    <m/>
    <m/>
    <x v="3"/>
  </r>
  <r>
    <s v="P0640"/>
    <n v="85"/>
    <s v="Male"/>
    <s v="Diabetes"/>
    <s v="General Medicine"/>
    <s v="Dr. Arun"/>
    <d v="2025-02-27T00:00:00"/>
    <d v="2025-03-06T00:00:00"/>
    <n v="41263"/>
    <s v="None"/>
    <s v="Cash"/>
    <x v="0"/>
    <s v="Under Treatment"/>
    <n v="1"/>
    <m/>
    <m/>
    <m/>
    <m/>
    <m/>
    <m/>
    <m/>
    <m/>
    <m/>
    <n v="2"/>
    <m/>
    <m/>
    <m/>
    <x v="3"/>
  </r>
  <r>
    <s v="P0641"/>
    <n v="52"/>
    <s v="Male"/>
    <s v="Cancer"/>
    <s v="Cardiology"/>
    <s v="Dr. Meena"/>
    <d v="2024-09-13T00:00:00"/>
    <d v="2024-09-15T00:00:00"/>
    <n v="163041"/>
    <s v="None"/>
    <s v="UPI"/>
    <x v="4"/>
    <s v="Recovered"/>
    <n v="1"/>
    <m/>
    <m/>
    <m/>
    <m/>
    <m/>
    <m/>
    <m/>
    <m/>
    <m/>
    <n v="9"/>
    <m/>
    <m/>
    <m/>
    <x v="1"/>
  </r>
  <r>
    <s v="P0642"/>
    <n v="80"/>
    <s v="Female"/>
    <s v="Cardiac"/>
    <s v="Cardiology"/>
    <s v="Dr. Raj"/>
    <d v="2024-03-30T00:00:00"/>
    <d v="2024-03-31T00:00:00"/>
    <n v="16515"/>
    <s v="Government"/>
    <s v="Card"/>
    <x v="3"/>
    <s v="Recovered"/>
    <n v="5"/>
    <m/>
    <m/>
    <m/>
    <m/>
    <m/>
    <m/>
    <m/>
    <m/>
    <m/>
    <n v="3"/>
    <m/>
    <m/>
    <m/>
    <x v="9"/>
  </r>
  <r>
    <s v="P0643"/>
    <n v="56"/>
    <s v="Male"/>
    <s v="Cardiac"/>
    <s v="Oncology"/>
    <s v="Dr. Raj"/>
    <d v="2024-07-17T00:00:00"/>
    <d v="2024-07-24T00:00:00"/>
    <n v="10364"/>
    <s v="Corporate"/>
    <s v="Cash"/>
    <x v="4"/>
    <s v="Under Treatment"/>
    <n v="5"/>
    <m/>
    <m/>
    <m/>
    <m/>
    <m/>
    <m/>
    <m/>
    <m/>
    <m/>
    <n v="7"/>
    <m/>
    <m/>
    <m/>
    <x v="7"/>
  </r>
  <r>
    <s v="P0644"/>
    <n v="46"/>
    <s v="Male"/>
    <s v="Infection"/>
    <s v="Orthopedics"/>
    <s v="Dr. Kumar"/>
    <d v="2024-05-03T00:00:00"/>
    <d v="2024-05-21T00:00:00"/>
    <n v="143451"/>
    <s v="Private"/>
    <s v="Cash"/>
    <x v="4"/>
    <s v="Recovered"/>
    <n v="4"/>
    <m/>
    <m/>
    <m/>
    <m/>
    <m/>
    <m/>
    <m/>
    <m/>
    <m/>
    <n v="5"/>
    <m/>
    <m/>
    <m/>
    <x v="5"/>
  </r>
  <r>
    <s v="P0645"/>
    <n v="56"/>
    <s v="Female"/>
    <s v="Infection"/>
    <s v="Pulmonology"/>
    <s v="Dr. Arun"/>
    <d v="2024-05-02T00:00:00"/>
    <d v="2024-05-15T00:00:00"/>
    <n v="61259"/>
    <s v="None"/>
    <s v="Card"/>
    <x v="4"/>
    <s v="Recovered"/>
    <n v="4"/>
    <m/>
    <m/>
    <m/>
    <m/>
    <m/>
    <m/>
    <m/>
    <m/>
    <m/>
    <n v="5"/>
    <m/>
    <m/>
    <m/>
    <x v="5"/>
  </r>
  <r>
    <s v="P0646"/>
    <n v="65"/>
    <s v="Female"/>
    <s v="Diabetes"/>
    <s v="Cardiology"/>
    <s v="Dr. Meena"/>
    <d v="2024-10-20T00:00:00"/>
    <d v="2024-10-22T00:00:00"/>
    <n v="70794"/>
    <s v="None"/>
    <s v="Insurance Claim"/>
    <x v="3"/>
    <s v="Follow-up"/>
    <n v="1"/>
    <m/>
    <m/>
    <m/>
    <m/>
    <m/>
    <m/>
    <m/>
    <m/>
    <m/>
    <n v="10"/>
    <m/>
    <m/>
    <m/>
    <x v="8"/>
  </r>
  <r>
    <s v="P0647"/>
    <n v="77"/>
    <s v="Female"/>
    <s v="Respiratory"/>
    <s v="Oncology"/>
    <s v="Dr. Kumar"/>
    <d v="2024-10-13T00:00:00"/>
    <d v="2024-10-20T00:00:00"/>
    <n v="127527"/>
    <s v="Government"/>
    <s v="Cash"/>
    <x v="3"/>
    <s v="Recovered"/>
    <n v="1"/>
    <m/>
    <m/>
    <m/>
    <m/>
    <m/>
    <m/>
    <m/>
    <m/>
    <m/>
    <n v="10"/>
    <m/>
    <m/>
    <m/>
    <x v="8"/>
  </r>
  <r>
    <s v="P0648"/>
    <n v="63"/>
    <s v="Male"/>
    <s v="Orthopedic"/>
    <s v="Orthopedics"/>
    <s v="Dr. Meena"/>
    <d v="2024-07-16T00:00:00"/>
    <d v="2024-07-18T00:00:00"/>
    <n v="241408"/>
    <s v="Government"/>
    <s v="UPI"/>
    <x v="2"/>
    <s v="Recovered"/>
    <n v="5"/>
    <m/>
    <m/>
    <m/>
    <m/>
    <m/>
    <m/>
    <m/>
    <m/>
    <m/>
    <n v="7"/>
    <m/>
    <m/>
    <m/>
    <x v="7"/>
  </r>
  <r>
    <s v="P0649"/>
    <n v="72"/>
    <s v="Female"/>
    <s v="Diabetes"/>
    <s v="Oncology"/>
    <s v="Dr. Kumar"/>
    <d v="2024-02-05T00:00:00"/>
    <d v="2024-02-18T00:00:00"/>
    <n v="26109"/>
    <s v="Corporate"/>
    <s v="Card"/>
    <x v="2"/>
    <s v="Recovered"/>
    <n v="5"/>
    <m/>
    <m/>
    <m/>
    <m/>
    <m/>
    <m/>
    <m/>
    <m/>
    <m/>
    <n v="2"/>
    <m/>
    <m/>
    <m/>
    <x v="3"/>
  </r>
  <r>
    <s v="P0650"/>
    <n v="57"/>
    <s v="Female"/>
    <s v="Respiratory"/>
    <s v="Cardiology"/>
    <s v="Dr. Raj"/>
    <d v="2024-01-20T00:00:00"/>
    <d v="2024-01-27T00:00:00"/>
    <n v="110051"/>
    <s v="None"/>
    <s v="UPI"/>
    <x v="1"/>
    <s v="Under Treatment"/>
    <n v="3"/>
    <m/>
    <m/>
    <m/>
    <m/>
    <m/>
    <m/>
    <m/>
    <m/>
    <m/>
    <n v="1"/>
    <m/>
    <m/>
    <m/>
    <x v="4"/>
  </r>
  <r>
    <s v="P0651"/>
    <n v="42"/>
    <s v="Female"/>
    <s v="Diabetes"/>
    <s v="Pulmonology"/>
    <s v="Dr. Priya"/>
    <d v="2025-11-09T00:00:00"/>
    <d v="2025-11-25T00:00:00"/>
    <n v="83137"/>
    <s v="Private"/>
    <s v="Card"/>
    <x v="1"/>
    <s v="Follow-up"/>
    <n v="5"/>
    <m/>
    <m/>
    <m/>
    <m/>
    <m/>
    <m/>
    <m/>
    <m/>
    <m/>
    <n v="11"/>
    <m/>
    <m/>
    <m/>
    <x v="6"/>
  </r>
  <r>
    <s v="P0652"/>
    <n v="61"/>
    <s v="Female"/>
    <s v="Orthopedic"/>
    <s v="Oncology"/>
    <s v="Dr. Priya"/>
    <d v="2024-01-01T00:00:00"/>
    <d v="2024-01-12T00:00:00"/>
    <n v="118570"/>
    <s v="None"/>
    <s v="Insurance Claim"/>
    <x v="0"/>
    <s v="Recovered"/>
    <n v="4"/>
    <m/>
    <m/>
    <m/>
    <m/>
    <m/>
    <m/>
    <m/>
    <m/>
    <m/>
    <n v="1"/>
    <m/>
    <m/>
    <m/>
    <x v="4"/>
  </r>
  <r>
    <s v="P0653"/>
    <n v="74"/>
    <s v="Female"/>
    <s v="Cancer"/>
    <s v="Cardiology"/>
    <s v="Dr. Kumar"/>
    <d v="2025-01-26T00:00:00"/>
    <d v="2025-01-29T00:00:00"/>
    <n v="21486"/>
    <s v="None"/>
    <s v="Cash"/>
    <x v="3"/>
    <s v="Recovered"/>
    <n v="1"/>
    <m/>
    <m/>
    <m/>
    <m/>
    <m/>
    <m/>
    <m/>
    <m/>
    <m/>
    <n v="1"/>
    <m/>
    <m/>
    <m/>
    <x v="4"/>
  </r>
  <r>
    <s v="P0654"/>
    <n v="28"/>
    <s v="Female"/>
    <s v="Infection"/>
    <s v="Cardiology"/>
    <s v="Dr. Raj"/>
    <d v="2025-04-24T00:00:00"/>
    <d v="2025-05-11T00:00:00"/>
    <n v="60842"/>
    <s v="Private"/>
    <s v="Card"/>
    <x v="0"/>
    <s v="Recovered"/>
    <n v="5"/>
    <m/>
    <m/>
    <m/>
    <m/>
    <m/>
    <m/>
    <m/>
    <m/>
    <m/>
    <n v="4"/>
    <m/>
    <m/>
    <m/>
    <x v="0"/>
  </r>
  <r>
    <s v="P0655"/>
    <n v="75"/>
    <s v="Male"/>
    <s v="Infection"/>
    <s v="Pulmonology"/>
    <s v="Dr. Arun"/>
    <d v="2024-06-07T00:00:00"/>
    <d v="2024-06-22T00:00:00"/>
    <n v="22910"/>
    <s v="Corporate"/>
    <s v="UPI"/>
    <x v="2"/>
    <s v="Follow-up"/>
    <n v="1"/>
    <m/>
    <m/>
    <m/>
    <m/>
    <m/>
    <m/>
    <m/>
    <m/>
    <m/>
    <n v="6"/>
    <m/>
    <m/>
    <m/>
    <x v="11"/>
  </r>
  <r>
    <s v="P0656"/>
    <n v="50"/>
    <s v="Female"/>
    <s v="Cancer"/>
    <s v="Neurology"/>
    <s v="Dr. Arun"/>
    <d v="2025-09-11T00:00:00"/>
    <d v="2025-09-27T00:00:00"/>
    <n v="60286"/>
    <s v="Corporate"/>
    <s v="UPI"/>
    <x v="0"/>
    <s v="Follow-up"/>
    <n v="1"/>
    <m/>
    <m/>
    <m/>
    <m/>
    <m/>
    <m/>
    <m/>
    <m/>
    <m/>
    <n v="9"/>
    <m/>
    <m/>
    <m/>
    <x v="1"/>
  </r>
  <r>
    <s v="P0657"/>
    <n v="76"/>
    <s v="Female"/>
    <s v="Cardiac"/>
    <s v="Cardiology"/>
    <s v="Dr. Kumar"/>
    <d v="2025-05-08T00:00:00"/>
    <d v="2025-05-19T00:00:00"/>
    <n v="90924"/>
    <s v="None"/>
    <s v="Cash"/>
    <x v="2"/>
    <s v="Follow-up"/>
    <n v="5"/>
    <m/>
    <m/>
    <m/>
    <m/>
    <m/>
    <m/>
    <m/>
    <m/>
    <m/>
    <n v="5"/>
    <m/>
    <m/>
    <m/>
    <x v="5"/>
  </r>
  <r>
    <s v="P0658"/>
    <n v="29"/>
    <s v="Male"/>
    <s v="Infection"/>
    <s v="General Medicine"/>
    <s v="Dr. Raj"/>
    <d v="2025-12-07T00:00:00"/>
    <d v="2025-12-24T00:00:00"/>
    <n v="24820"/>
    <s v="Government"/>
    <s v="Insurance Claim"/>
    <x v="3"/>
    <s v="Recovered"/>
    <n v="2"/>
    <m/>
    <m/>
    <m/>
    <m/>
    <m/>
    <m/>
    <m/>
    <m/>
    <m/>
    <n v="12"/>
    <m/>
    <m/>
    <m/>
    <x v="2"/>
  </r>
  <r>
    <s v="P0659"/>
    <n v="77"/>
    <s v="Female"/>
    <s v="Neurological"/>
    <s v="Oncology"/>
    <s v="Dr. Priya"/>
    <d v="2025-05-18T00:00:00"/>
    <d v="2025-06-02T00:00:00"/>
    <n v="6671"/>
    <s v="Corporate"/>
    <s v="Card"/>
    <x v="0"/>
    <s v="Under Treatment"/>
    <n v="2"/>
    <m/>
    <m/>
    <m/>
    <m/>
    <m/>
    <m/>
    <m/>
    <m/>
    <m/>
    <n v="5"/>
    <m/>
    <m/>
    <m/>
    <x v="5"/>
  </r>
  <r>
    <s v="P0660"/>
    <n v="72"/>
    <s v="Female"/>
    <s v="Neurological"/>
    <s v="Pulmonology"/>
    <s v="Dr. Priya"/>
    <d v="2024-12-01T00:00:00"/>
    <d v="2024-12-13T00:00:00"/>
    <n v="71616"/>
    <s v="None"/>
    <s v="Cash"/>
    <x v="1"/>
    <s v="Follow-up"/>
    <n v="2"/>
    <m/>
    <m/>
    <m/>
    <m/>
    <m/>
    <m/>
    <m/>
    <m/>
    <m/>
    <n v="12"/>
    <m/>
    <m/>
    <m/>
    <x v="2"/>
  </r>
  <r>
    <s v="P0661"/>
    <n v="53"/>
    <s v="Male"/>
    <s v="Cancer"/>
    <s v="Oncology"/>
    <s v="Dr. Raj"/>
    <d v="2024-06-13T00:00:00"/>
    <d v="2024-06-16T00:00:00"/>
    <n v="245692"/>
    <s v="Private"/>
    <s v="Cash"/>
    <x v="2"/>
    <s v="Under Treatment"/>
    <n v="3"/>
    <m/>
    <m/>
    <m/>
    <m/>
    <m/>
    <m/>
    <m/>
    <m/>
    <m/>
    <n v="6"/>
    <m/>
    <m/>
    <m/>
    <x v="11"/>
  </r>
  <r>
    <s v="P0662"/>
    <n v="61"/>
    <s v="Female"/>
    <s v="Cancer"/>
    <s v="Cardiology"/>
    <s v="Dr. Kumar"/>
    <d v="2024-04-01T00:00:00"/>
    <d v="2024-04-07T00:00:00"/>
    <n v="200814"/>
    <s v="Corporate"/>
    <s v="Card"/>
    <x v="1"/>
    <s v="Follow-up"/>
    <n v="4"/>
    <m/>
    <m/>
    <m/>
    <m/>
    <m/>
    <m/>
    <m/>
    <m/>
    <m/>
    <n v="4"/>
    <m/>
    <m/>
    <m/>
    <x v="0"/>
  </r>
  <r>
    <s v="P0663"/>
    <n v="24"/>
    <s v="Male"/>
    <s v="Cardiac"/>
    <s v="General Medicine"/>
    <s v="Dr. Meena"/>
    <d v="2025-09-28T00:00:00"/>
    <d v="2025-10-03T00:00:00"/>
    <n v="233216"/>
    <s v="Government"/>
    <s v="UPI"/>
    <x v="4"/>
    <s v="Recovered"/>
    <n v="2"/>
    <m/>
    <m/>
    <m/>
    <m/>
    <m/>
    <m/>
    <m/>
    <m/>
    <m/>
    <n v="9"/>
    <m/>
    <m/>
    <m/>
    <x v="1"/>
  </r>
  <r>
    <s v="P0664"/>
    <n v="49"/>
    <s v="Male"/>
    <s v="Neurological"/>
    <s v="Oncology"/>
    <s v="Dr. Meena"/>
    <d v="2025-02-04T00:00:00"/>
    <d v="2025-02-08T00:00:00"/>
    <n v="105420"/>
    <s v="Private"/>
    <s v="Insurance Claim"/>
    <x v="1"/>
    <s v="Under Treatment"/>
    <n v="3"/>
    <m/>
    <m/>
    <m/>
    <m/>
    <m/>
    <m/>
    <m/>
    <m/>
    <m/>
    <n v="2"/>
    <m/>
    <m/>
    <m/>
    <x v="3"/>
  </r>
  <r>
    <s v="P0665"/>
    <n v="79"/>
    <s v="Male"/>
    <s v="Infection"/>
    <s v="General Medicine"/>
    <s v="Dr. Arun"/>
    <d v="2024-05-04T00:00:00"/>
    <d v="2024-05-06T00:00:00"/>
    <n v="159748"/>
    <s v="Private"/>
    <s v="Cash"/>
    <x v="0"/>
    <s v="Follow-up"/>
    <n v="2"/>
    <m/>
    <m/>
    <m/>
    <m/>
    <m/>
    <m/>
    <m/>
    <m/>
    <m/>
    <n v="5"/>
    <m/>
    <m/>
    <m/>
    <x v="5"/>
  </r>
  <r>
    <s v="P0666"/>
    <n v="36"/>
    <s v="Female"/>
    <s v="Diabetes"/>
    <s v="Cardiology"/>
    <s v="Dr. Raj"/>
    <d v="2025-07-27T00:00:00"/>
    <d v="2025-07-28T00:00:00"/>
    <n v="139608"/>
    <s v="Private"/>
    <s v="Card"/>
    <x v="2"/>
    <s v="Follow-up"/>
    <n v="5"/>
    <m/>
    <m/>
    <m/>
    <m/>
    <m/>
    <m/>
    <m/>
    <m/>
    <m/>
    <n v="7"/>
    <m/>
    <m/>
    <m/>
    <x v="7"/>
  </r>
  <r>
    <s v="P0667"/>
    <n v="76"/>
    <s v="Male"/>
    <s v="Infection"/>
    <s v="Oncology"/>
    <s v="Dr. Kumar"/>
    <d v="2024-12-07T00:00:00"/>
    <d v="2024-12-08T00:00:00"/>
    <n v="170849"/>
    <s v="Private"/>
    <s v="Cash"/>
    <x v="0"/>
    <s v="Recovered"/>
    <n v="3"/>
    <m/>
    <m/>
    <m/>
    <m/>
    <m/>
    <m/>
    <m/>
    <m/>
    <m/>
    <n v="12"/>
    <m/>
    <m/>
    <m/>
    <x v="2"/>
  </r>
  <r>
    <s v="P0668"/>
    <n v="55"/>
    <s v="Female"/>
    <s v="Neurological"/>
    <s v="Pulmonology"/>
    <s v="Dr. Kumar"/>
    <d v="2024-02-15T00:00:00"/>
    <d v="2024-03-01T00:00:00"/>
    <n v="34105"/>
    <s v="Government"/>
    <s v="Cash"/>
    <x v="1"/>
    <s v="Under Treatment"/>
    <n v="1"/>
    <m/>
    <m/>
    <m/>
    <m/>
    <m/>
    <m/>
    <m/>
    <m/>
    <m/>
    <n v="2"/>
    <m/>
    <m/>
    <m/>
    <x v="3"/>
  </r>
  <r>
    <s v="P0669"/>
    <n v="58"/>
    <s v="Female"/>
    <s v="Infection"/>
    <s v="Oncology"/>
    <s v="Dr. Kumar"/>
    <d v="2024-08-20T00:00:00"/>
    <d v="2024-09-05T00:00:00"/>
    <n v="52795"/>
    <s v="Corporate"/>
    <s v="UPI"/>
    <x v="4"/>
    <s v="Follow-up"/>
    <n v="4"/>
    <m/>
    <m/>
    <m/>
    <m/>
    <m/>
    <m/>
    <m/>
    <m/>
    <m/>
    <n v="8"/>
    <m/>
    <m/>
    <m/>
    <x v="10"/>
  </r>
  <r>
    <s v="P0670"/>
    <n v="45"/>
    <s v="Female"/>
    <s v="Respiratory"/>
    <s v="Neurology"/>
    <s v="Dr. Priya"/>
    <d v="2024-04-23T00:00:00"/>
    <d v="2024-04-28T00:00:00"/>
    <n v="70631"/>
    <s v="None"/>
    <s v="Cash"/>
    <x v="3"/>
    <s v="Follow-up"/>
    <n v="4"/>
    <m/>
    <m/>
    <m/>
    <m/>
    <m/>
    <m/>
    <m/>
    <m/>
    <m/>
    <n v="4"/>
    <m/>
    <m/>
    <m/>
    <x v="0"/>
  </r>
  <r>
    <s v="P0671"/>
    <n v="78"/>
    <s v="Male"/>
    <s v="Neurological"/>
    <s v="Oncology"/>
    <s v="Dr. Meena"/>
    <d v="2025-06-17T00:00:00"/>
    <d v="2025-06-23T00:00:00"/>
    <n v="154087"/>
    <s v="Government"/>
    <s v="Card"/>
    <x v="3"/>
    <s v="Under Treatment"/>
    <n v="5"/>
    <m/>
    <m/>
    <m/>
    <m/>
    <m/>
    <m/>
    <m/>
    <m/>
    <m/>
    <n v="6"/>
    <m/>
    <m/>
    <m/>
    <x v="11"/>
  </r>
  <r>
    <s v="P0672"/>
    <n v="73"/>
    <s v="Female"/>
    <s v="Infection"/>
    <s v="Neurology"/>
    <s v="Dr. Arun"/>
    <d v="2025-01-16T00:00:00"/>
    <d v="2025-01-23T00:00:00"/>
    <n v="10309"/>
    <s v="Private"/>
    <s v="Cash"/>
    <x v="4"/>
    <s v="Under Treatment"/>
    <n v="3"/>
    <m/>
    <m/>
    <m/>
    <m/>
    <m/>
    <m/>
    <m/>
    <m/>
    <m/>
    <n v="1"/>
    <m/>
    <m/>
    <m/>
    <x v="4"/>
  </r>
  <r>
    <s v="P0673"/>
    <n v="55"/>
    <s v="Male"/>
    <s v="Cardiac"/>
    <s v="General Medicine"/>
    <s v="Dr. Kumar"/>
    <d v="2024-02-18T00:00:00"/>
    <d v="2024-03-06T00:00:00"/>
    <n v="126061"/>
    <s v="Private"/>
    <s v="UPI"/>
    <x v="0"/>
    <s v="Under Treatment"/>
    <n v="3"/>
    <m/>
    <m/>
    <m/>
    <m/>
    <m/>
    <m/>
    <m/>
    <m/>
    <m/>
    <n v="2"/>
    <m/>
    <m/>
    <m/>
    <x v="3"/>
  </r>
  <r>
    <s v="P0674"/>
    <n v="34"/>
    <s v="Female"/>
    <s v="Diabetes"/>
    <s v="Pulmonology"/>
    <s v="Dr. Priya"/>
    <d v="2024-04-12T00:00:00"/>
    <d v="2024-04-28T00:00:00"/>
    <n v="52056"/>
    <s v="Corporate"/>
    <s v="Card"/>
    <x v="4"/>
    <s v="Recovered"/>
    <n v="3"/>
    <m/>
    <m/>
    <m/>
    <m/>
    <m/>
    <m/>
    <m/>
    <m/>
    <m/>
    <n v="4"/>
    <m/>
    <m/>
    <m/>
    <x v="0"/>
  </r>
  <r>
    <s v="P0675"/>
    <n v="67"/>
    <s v="Female"/>
    <s v="Cancer"/>
    <s v="General Medicine"/>
    <s v="Dr. Meena"/>
    <d v="2025-01-29T00:00:00"/>
    <d v="2025-02-01T00:00:00"/>
    <n v="103180"/>
    <s v="Corporate"/>
    <s v="Cash"/>
    <x v="4"/>
    <s v="Follow-up"/>
    <n v="5"/>
    <m/>
    <m/>
    <m/>
    <m/>
    <m/>
    <m/>
    <m/>
    <m/>
    <m/>
    <n v="1"/>
    <m/>
    <m/>
    <m/>
    <x v="4"/>
  </r>
  <r>
    <s v="P0676"/>
    <n v="54"/>
    <s v="Male"/>
    <s v="Orthopedic"/>
    <s v="Neurology"/>
    <s v="Dr. Meena"/>
    <d v="2024-06-14T00:00:00"/>
    <d v="2024-06-30T00:00:00"/>
    <n v="89837"/>
    <s v="Government"/>
    <s v="Card"/>
    <x v="0"/>
    <s v="Follow-up"/>
    <n v="1"/>
    <m/>
    <m/>
    <m/>
    <m/>
    <m/>
    <m/>
    <m/>
    <m/>
    <m/>
    <n v="6"/>
    <m/>
    <m/>
    <m/>
    <x v="11"/>
  </r>
  <r>
    <s v="P0677"/>
    <n v="60"/>
    <s v="Female"/>
    <s v="Diabetes"/>
    <s v="General Medicine"/>
    <s v="Dr. Meena"/>
    <d v="2024-10-29T00:00:00"/>
    <d v="2024-11-07T00:00:00"/>
    <n v="40591"/>
    <s v="Corporate"/>
    <s v="Cash"/>
    <x v="0"/>
    <s v="Recovered"/>
    <n v="4"/>
    <m/>
    <m/>
    <m/>
    <m/>
    <m/>
    <m/>
    <m/>
    <m/>
    <m/>
    <n v="10"/>
    <m/>
    <m/>
    <m/>
    <x v="8"/>
  </r>
  <r>
    <s v="P0678"/>
    <n v="32"/>
    <s v="Female"/>
    <s v="Neurological"/>
    <s v="General Medicine"/>
    <s v="Dr. Meena"/>
    <d v="2024-05-13T00:00:00"/>
    <d v="2024-05-15T00:00:00"/>
    <n v="50782"/>
    <s v="Government"/>
    <s v="Cash"/>
    <x v="3"/>
    <s v="Recovered"/>
    <n v="5"/>
    <m/>
    <m/>
    <m/>
    <m/>
    <m/>
    <m/>
    <m/>
    <m/>
    <m/>
    <n v="5"/>
    <m/>
    <m/>
    <m/>
    <x v="5"/>
  </r>
  <r>
    <s v="P0679"/>
    <n v="25"/>
    <s v="Male"/>
    <s v="Cardiac"/>
    <s v="Neurology"/>
    <s v="Dr. Kumar"/>
    <d v="2024-02-25T00:00:00"/>
    <d v="2024-03-11T00:00:00"/>
    <n v="137973"/>
    <s v="Private"/>
    <s v="Cash"/>
    <x v="0"/>
    <s v="Under Treatment"/>
    <n v="4"/>
    <m/>
    <m/>
    <m/>
    <m/>
    <m/>
    <m/>
    <m/>
    <m/>
    <m/>
    <n v="2"/>
    <m/>
    <m/>
    <m/>
    <x v="3"/>
  </r>
  <r>
    <s v="P0680"/>
    <n v="61"/>
    <s v="Male"/>
    <s v="Neurological"/>
    <s v="Oncology"/>
    <s v="Dr. Raj"/>
    <d v="2024-08-03T00:00:00"/>
    <d v="2024-08-10T00:00:00"/>
    <n v="192062"/>
    <s v="Government"/>
    <s v="UPI"/>
    <x v="3"/>
    <s v="Follow-up"/>
    <n v="4"/>
    <m/>
    <m/>
    <m/>
    <m/>
    <m/>
    <m/>
    <m/>
    <m/>
    <m/>
    <n v="8"/>
    <m/>
    <m/>
    <m/>
    <x v="10"/>
  </r>
  <r>
    <s v="P0681"/>
    <n v="44"/>
    <s v="Female"/>
    <s v="Respiratory"/>
    <s v="General Medicine"/>
    <s v="Dr. Kumar"/>
    <d v="2024-05-20T00:00:00"/>
    <d v="2024-06-07T00:00:00"/>
    <n v="53161"/>
    <s v="None"/>
    <s v="Cash"/>
    <x v="1"/>
    <s v="Recovered"/>
    <n v="3"/>
    <m/>
    <m/>
    <m/>
    <m/>
    <m/>
    <m/>
    <m/>
    <m/>
    <m/>
    <n v="5"/>
    <m/>
    <m/>
    <m/>
    <x v="5"/>
  </r>
  <r>
    <s v="P0682"/>
    <n v="83"/>
    <s v="Male"/>
    <s v="Neurological"/>
    <s v="Orthopedics"/>
    <s v="Dr. Arun"/>
    <d v="2025-12-10T00:00:00"/>
    <d v="2025-12-26T00:00:00"/>
    <n v="208628"/>
    <s v="Government"/>
    <s v="Insurance Claim"/>
    <x v="2"/>
    <s v="Recovered"/>
    <n v="3"/>
    <m/>
    <m/>
    <m/>
    <m/>
    <m/>
    <m/>
    <m/>
    <m/>
    <m/>
    <n v="12"/>
    <m/>
    <m/>
    <m/>
    <x v="2"/>
  </r>
  <r>
    <s v="P0683"/>
    <n v="82"/>
    <s v="Female"/>
    <s v="Respiratory"/>
    <s v="General Medicine"/>
    <s v="Dr. Meena"/>
    <d v="2024-06-04T00:00:00"/>
    <d v="2024-06-22T00:00:00"/>
    <n v="192599"/>
    <s v="Government"/>
    <s v="UPI"/>
    <x v="1"/>
    <s v="Under Treatment"/>
    <n v="3"/>
    <m/>
    <m/>
    <m/>
    <m/>
    <m/>
    <m/>
    <m/>
    <m/>
    <m/>
    <n v="6"/>
    <m/>
    <m/>
    <m/>
    <x v="11"/>
  </r>
  <r>
    <s v="P0684"/>
    <n v="52"/>
    <s v="Female"/>
    <s v="Neurological"/>
    <s v="General Medicine"/>
    <s v="Dr. Priya"/>
    <d v="2025-12-05T00:00:00"/>
    <d v="2025-12-23T00:00:00"/>
    <n v="43912"/>
    <s v="None"/>
    <s v="Cash"/>
    <x v="2"/>
    <s v="Recovered"/>
    <n v="1"/>
    <m/>
    <m/>
    <m/>
    <m/>
    <m/>
    <m/>
    <m/>
    <m/>
    <m/>
    <n v="12"/>
    <m/>
    <m/>
    <m/>
    <x v="2"/>
  </r>
  <r>
    <s v="P0685"/>
    <n v="45"/>
    <s v="Male"/>
    <s v="Respiratory"/>
    <s v="General Medicine"/>
    <s v="Dr. Raj"/>
    <d v="2025-05-20T00:00:00"/>
    <d v="2025-06-01T00:00:00"/>
    <n v="64529"/>
    <s v="None"/>
    <s v="UPI"/>
    <x v="1"/>
    <s v="Recovered"/>
    <n v="1"/>
    <m/>
    <m/>
    <m/>
    <m/>
    <m/>
    <m/>
    <m/>
    <m/>
    <m/>
    <n v="5"/>
    <m/>
    <m/>
    <m/>
    <x v="5"/>
  </r>
  <r>
    <s v="P0686"/>
    <n v="27"/>
    <s v="Female"/>
    <s v="Respiratory"/>
    <s v="Orthopedics"/>
    <s v="Dr. Kumar"/>
    <d v="2025-05-28T00:00:00"/>
    <d v="2025-05-30T00:00:00"/>
    <n v="229970"/>
    <s v="None"/>
    <s v="Insurance Claim"/>
    <x v="4"/>
    <s v="Under Treatment"/>
    <n v="2"/>
    <m/>
    <m/>
    <m/>
    <m/>
    <m/>
    <m/>
    <m/>
    <m/>
    <m/>
    <n v="5"/>
    <m/>
    <m/>
    <m/>
    <x v="5"/>
  </r>
  <r>
    <s v="P0687"/>
    <n v="43"/>
    <s v="Male"/>
    <s v="Cancer"/>
    <s v="Oncology"/>
    <s v="Dr. Priya"/>
    <d v="2024-03-05T00:00:00"/>
    <d v="2024-03-06T00:00:00"/>
    <n v="185761"/>
    <s v="None"/>
    <s v="Insurance Claim"/>
    <x v="4"/>
    <s v="Follow-up"/>
    <n v="1"/>
    <m/>
    <m/>
    <m/>
    <m/>
    <m/>
    <m/>
    <m/>
    <m/>
    <m/>
    <n v="3"/>
    <m/>
    <m/>
    <m/>
    <x v="9"/>
  </r>
  <r>
    <s v="P0688"/>
    <n v="55"/>
    <s v="Male"/>
    <s v="Orthopedic"/>
    <s v="Orthopedics"/>
    <s v="Dr. Kumar"/>
    <d v="2024-10-10T00:00:00"/>
    <d v="2024-10-24T00:00:00"/>
    <n v="58849"/>
    <s v="None"/>
    <s v="Card"/>
    <x v="2"/>
    <s v="Follow-up"/>
    <n v="3"/>
    <m/>
    <m/>
    <m/>
    <m/>
    <m/>
    <m/>
    <m/>
    <m/>
    <m/>
    <n v="10"/>
    <m/>
    <m/>
    <m/>
    <x v="8"/>
  </r>
  <r>
    <s v="P0689"/>
    <n v="50"/>
    <s v="Male"/>
    <s v="Orthopedic"/>
    <s v="Orthopedics"/>
    <s v="Dr. Raj"/>
    <d v="2024-02-05T00:00:00"/>
    <d v="2024-02-24T00:00:00"/>
    <n v="229349"/>
    <s v="None"/>
    <s v="UPI"/>
    <x v="2"/>
    <s v="Follow-up"/>
    <n v="5"/>
    <m/>
    <m/>
    <m/>
    <m/>
    <m/>
    <m/>
    <m/>
    <m/>
    <m/>
    <n v="2"/>
    <m/>
    <m/>
    <m/>
    <x v="3"/>
  </r>
  <r>
    <s v="P0690"/>
    <n v="32"/>
    <s v="Male"/>
    <s v="Infection"/>
    <s v="Neurology"/>
    <s v="Dr. Arun"/>
    <d v="2024-07-12T00:00:00"/>
    <d v="2024-07-14T00:00:00"/>
    <n v="77636"/>
    <s v="Corporate"/>
    <s v="UPI"/>
    <x v="2"/>
    <s v="Recovered"/>
    <n v="3"/>
    <m/>
    <m/>
    <m/>
    <m/>
    <m/>
    <m/>
    <m/>
    <m/>
    <m/>
    <n v="7"/>
    <m/>
    <m/>
    <m/>
    <x v="7"/>
  </r>
  <r>
    <s v="P0691"/>
    <n v="50"/>
    <s v="Male"/>
    <s v="Neurological"/>
    <s v="Orthopedics"/>
    <s v="Dr. Meena"/>
    <d v="2024-03-05T00:00:00"/>
    <d v="2024-03-16T00:00:00"/>
    <n v="249910"/>
    <s v="Government"/>
    <s v="UPI"/>
    <x v="1"/>
    <s v="Under Treatment"/>
    <n v="3"/>
    <m/>
    <m/>
    <m/>
    <m/>
    <m/>
    <m/>
    <m/>
    <m/>
    <m/>
    <n v="3"/>
    <m/>
    <m/>
    <m/>
    <x v="9"/>
  </r>
  <r>
    <s v="P0692"/>
    <n v="49"/>
    <s v="Female"/>
    <s v="Diabetes"/>
    <s v="Neurology"/>
    <s v="Dr. Kumar"/>
    <d v="2025-06-19T00:00:00"/>
    <d v="2025-07-07T00:00:00"/>
    <n v="76225"/>
    <s v="Private"/>
    <s v="Card"/>
    <x v="4"/>
    <s v="Under Treatment"/>
    <n v="1"/>
    <m/>
    <m/>
    <m/>
    <m/>
    <m/>
    <m/>
    <m/>
    <m/>
    <m/>
    <n v="6"/>
    <m/>
    <m/>
    <m/>
    <x v="11"/>
  </r>
  <r>
    <s v="P0693"/>
    <n v="30"/>
    <s v="Male"/>
    <s v="Neurological"/>
    <s v="Cardiology"/>
    <s v="Dr. Meena"/>
    <d v="2025-01-08T00:00:00"/>
    <d v="2025-01-22T00:00:00"/>
    <n v="111288"/>
    <s v="Private"/>
    <s v="UPI"/>
    <x v="4"/>
    <s v="Follow-up"/>
    <n v="4"/>
    <m/>
    <m/>
    <m/>
    <m/>
    <m/>
    <m/>
    <m/>
    <m/>
    <m/>
    <n v="1"/>
    <m/>
    <m/>
    <m/>
    <x v="4"/>
  </r>
  <r>
    <s v="P0694"/>
    <n v="76"/>
    <s v="Female"/>
    <s v="Neurological"/>
    <s v="Pulmonology"/>
    <s v="Dr. Arun"/>
    <d v="2025-02-24T00:00:00"/>
    <d v="2025-02-26T00:00:00"/>
    <n v="120883"/>
    <s v="Government"/>
    <s v="UPI"/>
    <x v="2"/>
    <s v="Under Treatment"/>
    <n v="3"/>
    <m/>
    <m/>
    <m/>
    <m/>
    <m/>
    <m/>
    <m/>
    <m/>
    <m/>
    <n v="2"/>
    <m/>
    <m/>
    <m/>
    <x v="3"/>
  </r>
  <r>
    <s v="P0695"/>
    <n v="61"/>
    <s v="Female"/>
    <s v="Cancer"/>
    <s v="Orthopedics"/>
    <s v="Dr. Arun"/>
    <d v="2025-02-22T00:00:00"/>
    <d v="2025-03-14T00:00:00"/>
    <n v="229973"/>
    <s v="Corporate"/>
    <s v="Card"/>
    <x v="4"/>
    <s v="Follow-up"/>
    <n v="4"/>
    <m/>
    <m/>
    <m/>
    <m/>
    <m/>
    <m/>
    <m/>
    <m/>
    <m/>
    <n v="2"/>
    <m/>
    <m/>
    <m/>
    <x v="3"/>
  </r>
  <r>
    <s v="P0696"/>
    <n v="53"/>
    <s v="Male"/>
    <s v="Respiratory"/>
    <s v="Neurology"/>
    <s v="Dr. Arun"/>
    <d v="2024-01-19T00:00:00"/>
    <d v="2024-02-05T00:00:00"/>
    <n v="196757"/>
    <s v="None"/>
    <s v="Insurance Claim"/>
    <x v="2"/>
    <s v="Follow-up"/>
    <n v="3"/>
    <m/>
    <m/>
    <m/>
    <m/>
    <m/>
    <m/>
    <m/>
    <m/>
    <m/>
    <n v="1"/>
    <m/>
    <m/>
    <m/>
    <x v="4"/>
  </r>
  <r>
    <s v="P0697"/>
    <n v="76"/>
    <s v="Male"/>
    <s v="Infection"/>
    <s v="Neurology"/>
    <s v="Dr. Kumar"/>
    <d v="2024-04-06T00:00:00"/>
    <d v="2024-04-26T00:00:00"/>
    <n v="59162"/>
    <s v="Corporate"/>
    <s v="Cash"/>
    <x v="4"/>
    <s v="Follow-up"/>
    <n v="4"/>
    <m/>
    <m/>
    <m/>
    <m/>
    <m/>
    <m/>
    <m/>
    <m/>
    <m/>
    <n v="4"/>
    <m/>
    <m/>
    <m/>
    <x v="0"/>
  </r>
  <r>
    <s v="P0698"/>
    <n v="35"/>
    <s v="Male"/>
    <s v="Respiratory"/>
    <s v="Oncology"/>
    <s v="Dr. Raj"/>
    <d v="2024-06-27T00:00:00"/>
    <d v="2024-07-08T00:00:00"/>
    <n v="94097"/>
    <s v="Government"/>
    <s v="Cash"/>
    <x v="4"/>
    <s v="Recovered"/>
    <n v="4"/>
    <m/>
    <m/>
    <m/>
    <m/>
    <m/>
    <m/>
    <m/>
    <m/>
    <m/>
    <n v="6"/>
    <m/>
    <m/>
    <m/>
    <x v="11"/>
  </r>
  <r>
    <s v="P0699"/>
    <n v="85"/>
    <s v="Female"/>
    <s v="Orthopedic"/>
    <s v="General Medicine"/>
    <s v="Dr. Meena"/>
    <d v="2025-10-23T00:00:00"/>
    <d v="2025-11-03T00:00:00"/>
    <n v="29240"/>
    <s v="Government"/>
    <s v="Insurance Claim"/>
    <x v="4"/>
    <s v="Recovered"/>
    <n v="2"/>
    <m/>
    <m/>
    <m/>
    <m/>
    <m/>
    <m/>
    <m/>
    <m/>
    <m/>
    <n v="10"/>
    <m/>
    <m/>
    <m/>
    <x v="8"/>
  </r>
  <r>
    <s v="P0700"/>
    <n v="65"/>
    <s v="Female"/>
    <s v="Respiratory"/>
    <s v="General Medicine"/>
    <s v="Dr. Meena"/>
    <d v="2024-02-19T00:00:00"/>
    <d v="2024-02-22T00:00:00"/>
    <n v="17536"/>
    <s v="Corporate"/>
    <s v="Card"/>
    <x v="4"/>
    <s v="Under Treatment"/>
    <n v="1"/>
    <m/>
    <m/>
    <m/>
    <m/>
    <m/>
    <m/>
    <m/>
    <m/>
    <m/>
    <n v="2"/>
    <m/>
    <m/>
    <m/>
    <x v="3"/>
  </r>
  <r>
    <s v="P0701"/>
    <n v="42"/>
    <s v="Female"/>
    <s v="Orthopedic"/>
    <s v="General Medicine"/>
    <s v="Dr. Priya"/>
    <d v="2025-11-06T00:00:00"/>
    <d v="2025-11-26T00:00:00"/>
    <n v="112192"/>
    <s v="Corporate"/>
    <s v="Insurance Claim"/>
    <x v="1"/>
    <s v="Follow-up"/>
    <n v="4"/>
    <m/>
    <m/>
    <m/>
    <m/>
    <m/>
    <m/>
    <m/>
    <m/>
    <m/>
    <n v="11"/>
    <m/>
    <m/>
    <m/>
    <x v="6"/>
  </r>
  <r>
    <s v="P0702"/>
    <n v="64"/>
    <s v="Female"/>
    <s v="Infection"/>
    <s v="Cardiology"/>
    <s v="Dr. Arun"/>
    <d v="2024-10-22T00:00:00"/>
    <d v="2024-10-30T00:00:00"/>
    <n v="138582"/>
    <s v="Government"/>
    <s v="Card"/>
    <x v="3"/>
    <s v="Under Treatment"/>
    <n v="2"/>
    <m/>
    <m/>
    <m/>
    <m/>
    <m/>
    <m/>
    <m/>
    <m/>
    <m/>
    <n v="10"/>
    <m/>
    <m/>
    <m/>
    <x v="8"/>
  </r>
  <r>
    <s v="P0703"/>
    <n v="82"/>
    <s v="Female"/>
    <s v="Diabetes"/>
    <s v="Orthopedics"/>
    <s v="Dr. Priya"/>
    <d v="2025-07-27T00:00:00"/>
    <d v="2025-08-09T00:00:00"/>
    <n v="149733"/>
    <s v="Corporate"/>
    <s v="Insurance Claim"/>
    <x v="1"/>
    <s v="Follow-up"/>
    <n v="5"/>
    <m/>
    <m/>
    <m/>
    <m/>
    <m/>
    <m/>
    <m/>
    <m/>
    <m/>
    <n v="7"/>
    <m/>
    <m/>
    <m/>
    <x v="7"/>
  </r>
  <r>
    <s v="P0704"/>
    <n v="22"/>
    <s v="Female"/>
    <s v="Infection"/>
    <s v="Neurology"/>
    <s v="Dr. Raj"/>
    <d v="2024-11-06T00:00:00"/>
    <d v="2024-11-18T00:00:00"/>
    <n v="248098"/>
    <s v="Corporate"/>
    <s v="UPI"/>
    <x v="3"/>
    <s v="Recovered"/>
    <n v="4"/>
    <m/>
    <m/>
    <m/>
    <m/>
    <m/>
    <m/>
    <m/>
    <m/>
    <m/>
    <n v="11"/>
    <m/>
    <m/>
    <m/>
    <x v="6"/>
  </r>
  <r>
    <s v="P0705"/>
    <n v="26"/>
    <s v="Male"/>
    <s v="Diabetes"/>
    <s v="Pulmonology"/>
    <s v="Dr. Meena"/>
    <d v="2025-07-18T00:00:00"/>
    <d v="2025-07-31T00:00:00"/>
    <n v="243307"/>
    <s v="Corporate"/>
    <s v="Cash"/>
    <x v="0"/>
    <s v="Recovered"/>
    <n v="1"/>
    <m/>
    <m/>
    <m/>
    <m/>
    <m/>
    <m/>
    <m/>
    <m/>
    <m/>
    <n v="7"/>
    <m/>
    <m/>
    <m/>
    <x v="7"/>
  </r>
  <r>
    <s v="P0706"/>
    <n v="52"/>
    <s v="Male"/>
    <s v="Cardiac"/>
    <s v="General Medicine"/>
    <s v="Dr. Raj"/>
    <d v="2024-05-27T00:00:00"/>
    <d v="2024-05-28T00:00:00"/>
    <n v="85964"/>
    <s v="None"/>
    <s v="Cash"/>
    <x v="3"/>
    <s v="Follow-up"/>
    <n v="4"/>
    <m/>
    <m/>
    <m/>
    <m/>
    <m/>
    <m/>
    <m/>
    <m/>
    <m/>
    <n v="5"/>
    <m/>
    <m/>
    <m/>
    <x v="5"/>
  </r>
  <r>
    <s v="P0707"/>
    <n v="28"/>
    <s v="Female"/>
    <s v="Cancer"/>
    <s v="Oncology"/>
    <s v="Dr. Arun"/>
    <d v="2025-04-20T00:00:00"/>
    <d v="2025-04-29T00:00:00"/>
    <n v="196593"/>
    <s v="Government"/>
    <s v="UPI"/>
    <x v="0"/>
    <s v="Follow-up"/>
    <n v="2"/>
    <m/>
    <m/>
    <m/>
    <m/>
    <m/>
    <m/>
    <m/>
    <m/>
    <m/>
    <n v="4"/>
    <m/>
    <m/>
    <m/>
    <x v="0"/>
  </r>
  <r>
    <s v="P0708"/>
    <n v="42"/>
    <s v="Male"/>
    <s v="Infection"/>
    <s v="Neurology"/>
    <s v="Dr. Kumar"/>
    <d v="2024-02-18T00:00:00"/>
    <d v="2024-03-05T00:00:00"/>
    <n v="110025"/>
    <s v="Corporate"/>
    <s v="Insurance Claim"/>
    <x v="3"/>
    <s v="Follow-up"/>
    <n v="5"/>
    <m/>
    <m/>
    <m/>
    <m/>
    <m/>
    <m/>
    <m/>
    <m/>
    <m/>
    <n v="2"/>
    <m/>
    <m/>
    <m/>
    <x v="3"/>
  </r>
  <r>
    <s v="P0709"/>
    <n v="53"/>
    <s v="Male"/>
    <s v="Diabetes"/>
    <s v="Neurology"/>
    <s v="Dr. Meena"/>
    <d v="2024-11-04T00:00:00"/>
    <d v="2024-11-17T00:00:00"/>
    <n v="126324"/>
    <s v="None"/>
    <s v="Cash"/>
    <x v="1"/>
    <s v="Recovered"/>
    <n v="4"/>
    <m/>
    <m/>
    <m/>
    <m/>
    <m/>
    <m/>
    <m/>
    <m/>
    <m/>
    <n v="11"/>
    <m/>
    <m/>
    <m/>
    <x v="6"/>
  </r>
  <r>
    <s v="P0710"/>
    <n v="33"/>
    <s v="Female"/>
    <s v="Orthopedic"/>
    <s v="Cardiology"/>
    <s v="Dr. Meena"/>
    <d v="2024-02-15T00:00:00"/>
    <d v="2024-02-29T00:00:00"/>
    <n v="233387"/>
    <s v="None"/>
    <s v="Card"/>
    <x v="1"/>
    <s v="Follow-up"/>
    <n v="2"/>
    <m/>
    <m/>
    <m/>
    <m/>
    <m/>
    <m/>
    <m/>
    <m/>
    <m/>
    <n v="2"/>
    <m/>
    <m/>
    <m/>
    <x v="3"/>
  </r>
  <r>
    <s v="P0711"/>
    <n v="19"/>
    <s v="Female"/>
    <s v="Respiratory"/>
    <s v="Oncology"/>
    <s v="Dr. Arun"/>
    <d v="2025-11-24T00:00:00"/>
    <d v="2025-11-26T00:00:00"/>
    <n v="164325"/>
    <s v="None"/>
    <s v="Card"/>
    <x v="2"/>
    <s v="Under Treatment"/>
    <n v="1"/>
    <m/>
    <m/>
    <m/>
    <m/>
    <m/>
    <m/>
    <m/>
    <m/>
    <m/>
    <n v="11"/>
    <m/>
    <m/>
    <m/>
    <x v="6"/>
  </r>
  <r>
    <s v="P0712"/>
    <n v="25"/>
    <s v="Male"/>
    <s v="Cardiac"/>
    <s v="Neurology"/>
    <s v="Dr. Raj"/>
    <d v="2025-09-16T00:00:00"/>
    <d v="2025-09-26T00:00:00"/>
    <n v="14146"/>
    <s v="Government"/>
    <s v="Card"/>
    <x v="0"/>
    <s v="Recovered"/>
    <n v="1"/>
    <m/>
    <m/>
    <m/>
    <m/>
    <m/>
    <m/>
    <m/>
    <m/>
    <m/>
    <n v="9"/>
    <m/>
    <m/>
    <m/>
    <x v="1"/>
  </r>
  <r>
    <s v="P0713"/>
    <n v="56"/>
    <s v="Female"/>
    <s v="Neurological"/>
    <s v="General Medicine"/>
    <s v="Dr. Raj"/>
    <d v="2024-05-08T00:00:00"/>
    <d v="2024-05-11T00:00:00"/>
    <n v="188013"/>
    <s v="None"/>
    <s v="Cash"/>
    <x v="3"/>
    <s v="Follow-up"/>
    <n v="3"/>
    <m/>
    <m/>
    <m/>
    <m/>
    <m/>
    <m/>
    <m/>
    <m/>
    <m/>
    <n v="5"/>
    <m/>
    <m/>
    <m/>
    <x v="5"/>
  </r>
  <r>
    <s v="P0714"/>
    <n v="27"/>
    <s v="Female"/>
    <s v="Neurological"/>
    <s v="Oncology"/>
    <s v="Dr. Arun"/>
    <d v="2025-07-27T00:00:00"/>
    <d v="2025-07-29T00:00:00"/>
    <n v="59538"/>
    <s v="Private"/>
    <s v="Card"/>
    <x v="2"/>
    <s v="Under Treatment"/>
    <n v="1"/>
    <m/>
    <m/>
    <m/>
    <m/>
    <m/>
    <m/>
    <m/>
    <m/>
    <m/>
    <n v="7"/>
    <m/>
    <m/>
    <m/>
    <x v="7"/>
  </r>
  <r>
    <s v="P0715"/>
    <n v="73"/>
    <s v="Female"/>
    <s v="Respiratory"/>
    <s v="Oncology"/>
    <s v="Dr. Kumar"/>
    <d v="2025-02-23T00:00:00"/>
    <d v="2025-03-14T00:00:00"/>
    <n v="157984"/>
    <s v="None"/>
    <s v="UPI"/>
    <x v="4"/>
    <s v="Recovered"/>
    <n v="5"/>
    <m/>
    <m/>
    <m/>
    <m/>
    <m/>
    <m/>
    <m/>
    <m/>
    <m/>
    <n v="2"/>
    <m/>
    <m/>
    <m/>
    <x v="3"/>
  </r>
  <r>
    <s v="P0716"/>
    <n v="38"/>
    <s v="Male"/>
    <s v="Neurological"/>
    <s v="Orthopedics"/>
    <s v="Dr. Meena"/>
    <d v="2024-11-28T00:00:00"/>
    <d v="2024-12-13T00:00:00"/>
    <n v="162502"/>
    <s v="Private"/>
    <s v="Cash"/>
    <x v="3"/>
    <s v="Follow-up"/>
    <n v="1"/>
    <m/>
    <m/>
    <m/>
    <m/>
    <m/>
    <m/>
    <m/>
    <m/>
    <m/>
    <n v="11"/>
    <m/>
    <m/>
    <m/>
    <x v="6"/>
  </r>
  <r>
    <s v="P0717"/>
    <n v="75"/>
    <s v="Male"/>
    <s v="Infection"/>
    <s v="Pulmonology"/>
    <s v="Dr. Meena"/>
    <d v="2025-07-14T00:00:00"/>
    <d v="2025-08-03T00:00:00"/>
    <n v="204631"/>
    <s v="Private"/>
    <s v="Insurance Claim"/>
    <x v="3"/>
    <s v="Under Treatment"/>
    <n v="5"/>
    <m/>
    <m/>
    <m/>
    <m/>
    <m/>
    <m/>
    <m/>
    <m/>
    <m/>
    <n v="7"/>
    <m/>
    <m/>
    <m/>
    <x v="7"/>
  </r>
  <r>
    <s v="P0718"/>
    <n v="57"/>
    <s v="Female"/>
    <s v="Respiratory"/>
    <s v="General Medicine"/>
    <s v="Dr. Meena"/>
    <d v="2024-04-15T00:00:00"/>
    <d v="2024-04-19T00:00:00"/>
    <n v="227621"/>
    <s v="Government"/>
    <s v="Card"/>
    <x v="4"/>
    <s v="Recovered"/>
    <n v="1"/>
    <m/>
    <m/>
    <m/>
    <m/>
    <m/>
    <m/>
    <m/>
    <m/>
    <m/>
    <n v="4"/>
    <m/>
    <m/>
    <m/>
    <x v="0"/>
  </r>
  <r>
    <s v="P0719"/>
    <n v="55"/>
    <s v="Male"/>
    <s v="Cardiac"/>
    <s v="General Medicine"/>
    <s v="Dr. Kumar"/>
    <d v="2025-06-16T00:00:00"/>
    <d v="2025-06-27T00:00:00"/>
    <n v="62971"/>
    <s v="Private"/>
    <s v="Cash"/>
    <x v="0"/>
    <s v="Recovered"/>
    <n v="4"/>
    <m/>
    <m/>
    <m/>
    <m/>
    <m/>
    <m/>
    <m/>
    <m/>
    <m/>
    <n v="6"/>
    <m/>
    <m/>
    <m/>
    <x v="11"/>
  </r>
  <r>
    <s v="P0720"/>
    <n v="24"/>
    <s v="Female"/>
    <s v="Cancer"/>
    <s v="Pulmonology"/>
    <s v="Dr. Raj"/>
    <d v="2024-01-15T00:00:00"/>
    <d v="2024-02-03T00:00:00"/>
    <n v="123284"/>
    <s v="Government"/>
    <s v="UPI"/>
    <x v="1"/>
    <s v="Recovered"/>
    <n v="2"/>
    <m/>
    <m/>
    <m/>
    <m/>
    <m/>
    <m/>
    <m/>
    <m/>
    <m/>
    <n v="1"/>
    <m/>
    <m/>
    <m/>
    <x v="4"/>
  </r>
  <r>
    <s v="P0721"/>
    <n v="82"/>
    <s v="Male"/>
    <s v="Neurological"/>
    <s v="General Medicine"/>
    <s v="Dr. Raj"/>
    <d v="2024-05-19T00:00:00"/>
    <d v="2024-05-22T00:00:00"/>
    <n v="16213"/>
    <s v="Government"/>
    <s v="Cash"/>
    <x v="2"/>
    <s v="Follow-up"/>
    <n v="4"/>
    <m/>
    <m/>
    <m/>
    <m/>
    <m/>
    <m/>
    <m/>
    <m/>
    <m/>
    <n v="5"/>
    <m/>
    <m/>
    <m/>
    <x v="5"/>
  </r>
  <r>
    <s v="P0722"/>
    <n v="63"/>
    <s v="Male"/>
    <s v="Neurological"/>
    <s v="Neurology"/>
    <s v="Dr. Meena"/>
    <d v="2025-04-18T00:00:00"/>
    <d v="2025-04-19T00:00:00"/>
    <n v="11795"/>
    <s v="None"/>
    <s v="UPI"/>
    <x v="4"/>
    <s v="Recovered"/>
    <n v="1"/>
    <m/>
    <m/>
    <m/>
    <m/>
    <m/>
    <m/>
    <m/>
    <m/>
    <m/>
    <n v="4"/>
    <m/>
    <m/>
    <m/>
    <x v="0"/>
  </r>
  <r>
    <s v="P0723"/>
    <n v="77"/>
    <s v="Female"/>
    <s v="Infection"/>
    <s v="Cardiology"/>
    <s v="Dr. Meena"/>
    <d v="2025-03-24T00:00:00"/>
    <d v="2025-04-09T00:00:00"/>
    <n v="87429"/>
    <s v="Private"/>
    <s v="Card"/>
    <x v="0"/>
    <s v="Recovered"/>
    <n v="2"/>
    <m/>
    <m/>
    <m/>
    <m/>
    <m/>
    <m/>
    <m/>
    <m/>
    <m/>
    <n v="3"/>
    <m/>
    <m/>
    <m/>
    <x v="9"/>
  </r>
  <r>
    <s v="P0724"/>
    <n v="29"/>
    <s v="Female"/>
    <s v="Infection"/>
    <s v="Neurology"/>
    <s v="Dr. Meena"/>
    <d v="2025-02-20T00:00:00"/>
    <d v="2025-03-09T00:00:00"/>
    <n v="46799"/>
    <s v="Government"/>
    <s v="UPI"/>
    <x v="3"/>
    <s v="Under Treatment"/>
    <n v="2"/>
    <m/>
    <m/>
    <m/>
    <m/>
    <m/>
    <m/>
    <m/>
    <m/>
    <m/>
    <n v="2"/>
    <m/>
    <m/>
    <m/>
    <x v="3"/>
  </r>
  <r>
    <s v="P0725"/>
    <n v="38"/>
    <s v="Male"/>
    <s v="Cancer"/>
    <s v="Oncology"/>
    <s v="Dr. Raj"/>
    <d v="2024-06-24T00:00:00"/>
    <d v="2024-07-05T00:00:00"/>
    <n v="125952"/>
    <s v="Corporate"/>
    <s v="Cash"/>
    <x v="0"/>
    <s v="Under Treatment"/>
    <n v="5"/>
    <m/>
    <m/>
    <m/>
    <m/>
    <m/>
    <m/>
    <m/>
    <m/>
    <m/>
    <n v="6"/>
    <m/>
    <m/>
    <m/>
    <x v="11"/>
  </r>
  <r>
    <s v="P0726"/>
    <n v="85"/>
    <s v="Female"/>
    <s v="Respiratory"/>
    <s v="Pulmonology"/>
    <s v="Dr. Priya"/>
    <d v="2025-10-01T00:00:00"/>
    <d v="2025-10-08T00:00:00"/>
    <n v="164053"/>
    <s v="Government"/>
    <s v="UPI"/>
    <x v="2"/>
    <s v="Recovered"/>
    <n v="1"/>
    <m/>
    <m/>
    <m/>
    <m/>
    <m/>
    <m/>
    <m/>
    <m/>
    <m/>
    <n v="10"/>
    <m/>
    <m/>
    <m/>
    <x v="8"/>
  </r>
  <r>
    <s v="P0727"/>
    <n v="53"/>
    <s v="Female"/>
    <s v="Orthopedic"/>
    <s v="Pulmonology"/>
    <s v="Dr. Meena"/>
    <d v="2025-06-05T00:00:00"/>
    <d v="2025-06-25T00:00:00"/>
    <n v="248229"/>
    <s v="Government"/>
    <s v="Insurance Claim"/>
    <x v="0"/>
    <s v="Under Treatment"/>
    <n v="4"/>
    <m/>
    <m/>
    <m/>
    <m/>
    <m/>
    <m/>
    <m/>
    <m/>
    <m/>
    <n v="6"/>
    <m/>
    <m/>
    <m/>
    <x v="11"/>
  </r>
  <r>
    <s v="P0728"/>
    <n v="78"/>
    <s v="Male"/>
    <s v="Orthopedic"/>
    <s v="Cardiology"/>
    <s v="Dr. Priya"/>
    <d v="2025-08-11T00:00:00"/>
    <d v="2025-08-28T00:00:00"/>
    <n v="65287"/>
    <s v="Government"/>
    <s v="UPI"/>
    <x v="2"/>
    <s v="Under Treatment"/>
    <n v="4"/>
    <m/>
    <m/>
    <m/>
    <m/>
    <m/>
    <m/>
    <m/>
    <m/>
    <m/>
    <n v="8"/>
    <m/>
    <m/>
    <m/>
    <x v="10"/>
  </r>
  <r>
    <s v="P0729"/>
    <n v="23"/>
    <s v="Female"/>
    <s v="Neurological"/>
    <s v="Cardiology"/>
    <s v="Dr. Raj"/>
    <d v="2024-03-15T00:00:00"/>
    <d v="2024-03-16T00:00:00"/>
    <n v="111518"/>
    <s v="Private"/>
    <s v="Insurance Claim"/>
    <x v="3"/>
    <s v="Follow-up"/>
    <n v="1"/>
    <m/>
    <m/>
    <m/>
    <m/>
    <m/>
    <m/>
    <m/>
    <m/>
    <m/>
    <n v="3"/>
    <m/>
    <m/>
    <m/>
    <x v="9"/>
  </r>
  <r>
    <s v="P0730"/>
    <n v="85"/>
    <s v="Male"/>
    <s v="Orthopedic"/>
    <s v="Cardiology"/>
    <s v="Dr. Priya"/>
    <d v="2025-07-22T00:00:00"/>
    <d v="2025-08-06T00:00:00"/>
    <n v="186032"/>
    <s v="Corporate"/>
    <s v="UPI"/>
    <x v="3"/>
    <s v="Recovered"/>
    <n v="3"/>
    <m/>
    <m/>
    <m/>
    <m/>
    <m/>
    <m/>
    <m/>
    <m/>
    <m/>
    <n v="7"/>
    <m/>
    <m/>
    <m/>
    <x v="7"/>
  </r>
  <r>
    <s v="P0731"/>
    <n v="56"/>
    <s v="Male"/>
    <s v="Neurological"/>
    <s v="Orthopedics"/>
    <s v="Dr. Arun"/>
    <d v="2024-10-29T00:00:00"/>
    <d v="2024-11-17T00:00:00"/>
    <n v="133348"/>
    <s v="Private"/>
    <s v="UPI"/>
    <x v="0"/>
    <s v="Under Treatment"/>
    <n v="4"/>
    <m/>
    <m/>
    <m/>
    <m/>
    <m/>
    <m/>
    <m/>
    <m/>
    <m/>
    <n v="10"/>
    <m/>
    <m/>
    <m/>
    <x v="8"/>
  </r>
  <r>
    <s v="P0732"/>
    <n v="52"/>
    <s v="Male"/>
    <s v="Cardiac"/>
    <s v="Neurology"/>
    <s v="Dr. Raj"/>
    <d v="2025-08-11T00:00:00"/>
    <d v="2025-08-31T00:00:00"/>
    <n v="166943"/>
    <s v="Corporate"/>
    <s v="Cash"/>
    <x v="2"/>
    <s v="Recovered"/>
    <n v="1"/>
    <m/>
    <m/>
    <m/>
    <m/>
    <m/>
    <m/>
    <m/>
    <m/>
    <m/>
    <n v="8"/>
    <m/>
    <m/>
    <m/>
    <x v="10"/>
  </r>
  <r>
    <s v="P0733"/>
    <n v="82"/>
    <s v="Female"/>
    <s v="Neurological"/>
    <s v="Orthopedics"/>
    <s v="Dr. Priya"/>
    <d v="2024-08-03T00:00:00"/>
    <d v="2024-08-18T00:00:00"/>
    <n v="33032"/>
    <s v="None"/>
    <s v="Insurance Claim"/>
    <x v="2"/>
    <s v="Follow-up"/>
    <n v="3"/>
    <m/>
    <m/>
    <m/>
    <m/>
    <m/>
    <m/>
    <m/>
    <m/>
    <m/>
    <n v="8"/>
    <m/>
    <m/>
    <m/>
    <x v="10"/>
  </r>
  <r>
    <s v="P0734"/>
    <n v="68"/>
    <s v="Female"/>
    <s v="Respiratory"/>
    <s v="Orthopedics"/>
    <s v="Dr. Kumar"/>
    <d v="2025-02-13T00:00:00"/>
    <d v="2025-02-26T00:00:00"/>
    <n v="168965"/>
    <s v="Private"/>
    <s v="UPI"/>
    <x v="0"/>
    <s v="Recovered"/>
    <n v="2"/>
    <m/>
    <m/>
    <m/>
    <m/>
    <m/>
    <m/>
    <m/>
    <m/>
    <m/>
    <n v="2"/>
    <m/>
    <m/>
    <m/>
    <x v="3"/>
  </r>
  <r>
    <s v="P0735"/>
    <n v="30"/>
    <s v="Female"/>
    <s v="Infection"/>
    <s v="Oncology"/>
    <s v="Dr. Raj"/>
    <d v="2024-02-06T00:00:00"/>
    <d v="2024-02-17T00:00:00"/>
    <n v="220461"/>
    <s v="None"/>
    <s v="Cash"/>
    <x v="3"/>
    <s v="Under Treatment"/>
    <n v="5"/>
    <m/>
    <m/>
    <m/>
    <m/>
    <m/>
    <m/>
    <m/>
    <m/>
    <m/>
    <n v="2"/>
    <m/>
    <m/>
    <m/>
    <x v="3"/>
  </r>
  <r>
    <s v="P0736"/>
    <n v="36"/>
    <s v="Male"/>
    <s v="Neurological"/>
    <s v="Oncology"/>
    <s v="Dr. Arun"/>
    <d v="2024-01-04T00:00:00"/>
    <d v="2024-01-08T00:00:00"/>
    <n v="210359"/>
    <s v="Government"/>
    <s v="UPI"/>
    <x v="1"/>
    <s v="Under Treatment"/>
    <n v="3"/>
    <m/>
    <m/>
    <m/>
    <m/>
    <m/>
    <m/>
    <m/>
    <m/>
    <m/>
    <n v="1"/>
    <m/>
    <m/>
    <m/>
    <x v="4"/>
  </r>
  <r>
    <s v="P0737"/>
    <n v="35"/>
    <s v="Female"/>
    <s v="Diabetes"/>
    <s v="Cardiology"/>
    <s v="Dr. Kumar"/>
    <d v="2024-10-04T00:00:00"/>
    <d v="2024-10-13T00:00:00"/>
    <n v="242983"/>
    <s v="None"/>
    <s v="Card"/>
    <x v="0"/>
    <s v="Under Treatment"/>
    <n v="2"/>
    <m/>
    <m/>
    <m/>
    <m/>
    <m/>
    <m/>
    <m/>
    <m/>
    <m/>
    <n v="10"/>
    <m/>
    <m/>
    <m/>
    <x v="8"/>
  </r>
  <r>
    <s v="P0738"/>
    <n v="34"/>
    <s v="Female"/>
    <s v="Respiratory"/>
    <s v="General Medicine"/>
    <s v="Dr. Priya"/>
    <d v="2025-11-20T00:00:00"/>
    <d v="2025-11-23T00:00:00"/>
    <n v="199528"/>
    <s v="None"/>
    <s v="Cash"/>
    <x v="2"/>
    <s v="Under Treatment"/>
    <n v="5"/>
    <m/>
    <m/>
    <m/>
    <m/>
    <m/>
    <m/>
    <m/>
    <m/>
    <m/>
    <n v="11"/>
    <m/>
    <m/>
    <m/>
    <x v="6"/>
  </r>
  <r>
    <s v="P0739"/>
    <n v="50"/>
    <s v="Female"/>
    <s v="Diabetes"/>
    <s v="Neurology"/>
    <s v="Dr. Kumar"/>
    <d v="2024-10-01T00:00:00"/>
    <d v="2024-10-04T00:00:00"/>
    <n v="52154"/>
    <s v="Private"/>
    <s v="Cash"/>
    <x v="1"/>
    <s v="Under Treatment"/>
    <n v="2"/>
    <m/>
    <m/>
    <m/>
    <m/>
    <m/>
    <m/>
    <m/>
    <m/>
    <m/>
    <n v="10"/>
    <m/>
    <m/>
    <m/>
    <x v="8"/>
  </r>
  <r>
    <s v="P0740"/>
    <n v="42"/>
    <s v="Male"/>
    <s v="Diabetes"/>
    <s v="Orthopedics"/>
    <s v="Dr. Arun"/>
    <d v="2025-01-05T00:00:00"/>
    <d v="2025-01-24T00:00:00"/>
    <n v="160734"/>
    <s v="Private"/>
    <s v="UPI"/>
    <x v="0"/>
    <s v="Follow-up"/>
    <n v="4"/>
    <m/>
    <m/>
    <m/>
    <m/>
    <m/>
    <m/>
    <m/>
    <m/>
    <m/>
    <n v="1"/>
    <m/>
    <m/>
    <m/>
    <x v="4"/>
  </r>
  <r>
    <s v="P0741"/>
    <n v="47"/>
    <s v="Female"/>
    <s v="Neurological"/>
    <s v="Pulmonology"/>
    <s v="Dr. Kumar"/>
    <d v="2024-12-18T00:00:00"/>
    <d v="2024-12-20T00:00:00"/>
    <n v="230317"/>
    <s v="Private"/>
    <s v="Insurance Claim"/>
    <x v="4"/>
    <s v="Recovered"/>
    <n v="5"/>
    <m/>
    <m/>
    <m/>
    <m/>
    <m/>
    <m/>
    <m/>
    <m/>
    <m/>
    <n v="12"/>
    <m/>
    <m/>
    <m/>
    <x v="2"/>
  </r>
  <r>
    <s v="P0742"/>
    <n v="50"/>
    <s v="Female"/>
    <s v="Respiratory"/>
    <s v="General Medicine"/>
    <s v="Dr. Arun"/>
    <d v="2024-02-09T00:00:00"/>
    <d v="2024-02-17T00:00:00"/>
    <n v="207367"/>
    <s v="Private"/>
    <s v="Card"/>
    <x v="3"/>
    <s v="Follow-up"/>
    <n v="4"/>
    <m/>
    <m/>
    <m/>
    <m/>
    <m/>
    <m/>
    <m/>
    <m/>
    <m/>
    <n v="2"/>
    <m/>
    <m/>
    <m/>
    <x v="3"/>
  </r>
  <r>
    <s v="P0743"/>
    <n v="47"/>
    <s v="Male"/>
    <s v="Cardiac"/>
    <s v="Oncology"/>
    <s v="Dr. Kumar"/>
    <d v="2025-09-04T00:00:00"/>
    <d v="2025-09-21T00:00:00"/>
    <n v="151594"/>
    <s v="None"/>
    <s v="Cash"/>
    <x v="2"/>
    <s v="Recovered"/>
    <n v="2"/>
    <m/>
    <m/>
    <m/>
    <m/>
    <m/>
    <m/>
    <m/>
    <m/>
    <m/>
    <n v="9"/>
    <m/>
    <m/>
    <m/>
    <x v="1"/>
  </r>
  <r>
    <s v="P0744"/>
    <n v="53"/>
    <s v="Female"/>
    <s v="Diabetes"/>
    <s v="Neurology"/>
    <s v="Dr. Meena"/>
    <d v="2025-01-15T00:00:00"/>
    <d v="2025-01-24T00:00:00"/>
    <n v="41483"/>
    <s v="None"/>
    <s v="Cash"/>
    <x v="3"/>
    <s v="Under Treatment"/>
    <n v="5"/>
    <m/>
    <m/>
    <m/>
    <m/>
    <m/>
    <m/>
    <m/>
    <m/>
    <m/>
    <n v="1"/>
    <m/>
    <m/>
    <m/>
    <x v="4"/>
  </r>
  <r>
    <s v="P0745"/>
    <n v="40"/>
    <s v="Male"/>
    <s v="Respiratory"/>
    <s v="Oncology"/>
    <s v="Dr. Meena"/>
    <d v="2025-03-03T00:00:00"/>
    <d v="2025-03-17T00:00:00"/>
    <n v="91173"/>
    <s v="Corporate"/>
    <s v="Card"/>
    <x v="2"/>
    <s v="Under Treatment"/>
    <n v="3"/>
    <m/>
    <m/>
    <m/>
    <m/>
    <m/>
    <m/>
    <m/>
    <m/>
    <m/>
    <n v="3"/>
    <m/>
    <m/>
    <m/>
    <x v="9"/>
  </r>
  <r>
    <s v="P0746"/>
    <n v="46"/>
    <s v="Male"/>
    <s v="Cardiac"/>
    <s v="Oncology"/>
    <s v="Dr. Priya"/>
    <d v="2024-09-03T00:00:00"/>
    <d v="2024-09-06T00:00:00"/>
    <n v="204147"/>
    <s v="Private"/>
    <s v="Cash"/>
    <x v="4"/>
    <s v="Under Treatment"/>
    <n v="4"/>
    <m/>
    <m/>
    <m/>
    <m/>
    <m/>
    <m/>
    <m/>
    <m/>
    <m/>
    <n v="9"/>
    <m/>
    <m/>
    <m/>
    <x v="1"/>
  </r>
  <r>
    <s v="P0747"/>
    <n v="45"/>
    <s v="Male"/>
    <s v="Cancer"/>
    <s v="General Medicine"/>
    <s v="Dr. Raj"/>
    <d v="2025-07-02T00:00:00"/>
    <d v="2025-07-05T00:00:00"/>
    <n v="129953"/>
    <s v="None"/>
    <s v="Card"/>
    <x v="1"/>
    <s v="Recovered"/>
    <n v="5"/>
    <m/>
    <m/>
    <m/>
    <m/>
    <m/>
    <m/>
    <m/>
    <m/>
    <m/>
    <n v="7"/>
    <m/>
    <m/>
    <m/>
    <x v="7"/>
  </r>
  <r>
    <s v="P0748"/>
    <n v="46"/>
    <s v="Male"/>
    <s v="Diabetes"/>
    <s v="Cardiology"/>
    <s v="Dr. Kumar"/>
    <d v="2025-08-04T00:00:00"/>
    <d v="2025-08-10T00:00:00"/>
    <n v="200863"/>
    <s v="None"/>
    <s v="Cash"/>
    <x v="0"/>
    <s v="Under Treatment"/>
    <n v="4"/>
    <m/>
    <m/>
    <m/>
    <m/>
    <m/>
    <m/>
    <m/>
    <m/>
    <m/>
    <n v="8"/>
    <m/>
    <m/>
    <m/>
    <x v="10"/>
  </r>
  <r>
    <s v="P0749"/>
    <n v="38"/>
    <s v="Male"/>
    <s v="Cardiac"/>
    <s v="Oncology"/>
    <s v="Dr. Raj"/>
    <d v="2025-07-26T00:00:00"/>
    <d v="2025-08-09T00:00:00"/>
    <n v="165974"/>
    <s v="Corporate"/>
    <s v="Card"/>
    <x v="4"/>
    <s v="Follow-up"/>
    <n v="4"/>
    <m/>
    <m/>
    <m/>
    <m/>
    <m/>
    <m/>
    <m/>
    <m/>
    <m/>
    <n v="7"/>
    <m/>
    <m/>
    <m/>
    <x v="7"/>
  </r>
  <r>
    <s v="P0750"/>
    <n v="82"/>
    <s v="Female"/>
    <s v="Cancer"/>
    <s v="Neurology"/>
    <s v="Dr. Kumar"/>
    <d v="2025-10-13T00:00:00"/>
    <d v="2025-10-27T00:00:00"/>
    <n v="163166"/>
    <s v="Government"/>
    <s v="Card"/>
    <x v="1"/>
    <s v="Recovered"/>
    <n v="3"/>
    <m/>
    <m/>
    <m/>
    <m/>
    <m/>
    <m/>
    <m/>
    <m/>
    <m/>
    <n v="10"/>
    <m/>
    <m/>
    <m/>
    <x v="8"/>
  </r>
  <r>
    <s v="P0751"/>
    <n v="27"/>
    <s v="Male"/>
    <s v="Cardiac"/>
    <s v="Orthopedics"/>
    <s v="Dr. Raj"/>
    <d v="2025-09-30T00:00:00"/>
    <d v="2025-10-12T00:00:00"/>
    <n v="55544"/>
    <s v="Corporate"/>
    <s v="Cash"/>
    <x v="0"/>
    <s v="Under Treatment"/>
    <n v="2"/>
    <m/>
    <m/>
    <m/>
    <m/>
    <m/>
    <m/>
    <m/>
    <m/>
    <m/>
    <n v="9"/>
    <m/>
    <m/>
    <m/>
    <x v="1"/>
  </r>
  <r>
    <s v="P0752"/>
    <n v="81"/>
    <s v="Male"/>
    <s v="Cardiac"/>
    <s v="Orthopedics"/>
    <s v="Dr. Arun"/>
    <d v="2024-02-21T00:00:00"/>
    <d v="2024-03-05T00:00:00"/>
    <n v="64997"/>
    <s v="None"/>
    <s v="Cash"/>
    <x v="2"/>
    <s v="Recovered"/>
    <n v="2"/>
    <m/>
    <m/>
    <m/>
    <m/>
    <m/>
    <m/>
    <m/>
    <m/>
    <m/>
    <n v="2"/>
    <m/>
    <m/>
    <m/>
    <x v="3"/>
  </r>
  <r>
    <s v="P0753"/>
    <n v="62"/>
    <s v="Male"/>
    <s v="Cancer"/>
    <s v="Neurology"/>
    <s v="Dr. Kumar"/>
    <d v="2025-04-16T00:00:00"/>
    <d v="2025-04-26T00:00:00"/>
    <n v="143188"/>
    <s v="Corporate"/>
    <s v="Insurance Claim"/>
    <x v="1"/>
    <s v="Follow-up"/>
    <n v="1"/>
    <m/>
    <m/>
    <m/>
    <m/>
    <m/>
    <m/>
    <m/>
    <m/>
    <m/>
    <n v="4"/>
    <m/>
    <m/>
    <m/>
    <x v="0"/>
  </r>
  <r>
    <s v="P0754"/>
    <n v="71"/>
    <s v="Male"/>
    <s v="Orthopedic"/>
    <s v="Oncology"/>
    <s v="Dr. Priya"/>
    <d v="2024-09-25T00:00:00"/>
    <d v="2024-10-14T00:00:00"/>
    <n v="192267"/>
    <s v="Private"/>
    <s v="Cash"/>
    <x v="1"/>
    <s v="Follow-up"/>
    <n v="2"/>
    <m/>
    <m/>
    <m/>
    <m/>
    <m/>
    <m/>
    <m/>
    <m/>
    <m/>
    <n v="9"/>
    <m/>
    <m/>
    <m/>
    <x v="1"/>
  </r>
  <r>
    <s v="P0755"/>
    <n v="57"/>
    <s v="Male"/>
    <s v="Cardiac"/>
    <s v="Pulmonology"/>
    <s v="Dr. Arun"/>
    <d v="2024-08-08T00:00:00"/>
    <d v="2024-08-10T00:00:00"/>
    <n v="199818"/>
    <s v="Government"/>
    <s v="Cash"/>
    <x v="4"/>
    <s v="Under Treatment"/>
    <n v="4"/>
    <m/>
    <m/>
    <m/>
    <m/>
    <m/>
    <m/>
    <m/>
    <m/>
    <m/>
    <n v="8"/>
    <m/>
    <m/>
    <m/>
    <x v="10"/>
  </r>
  <r>
    <s v="P0756"/>
    <n v="80"/>
    <s v="Female"/>
    <s v="Orthopedic"/>
    <s v="Neurology"/>
    <s v="Dr. Meena"/>
    <d v="2024-03-23T00:00:00"/>
    <d v="2024-03-31T00:00:00"/>
    <n v="48641"/>
    <s v="Corporate"/>
    <s v="Insurance Claim"/>
    <x v="1"/>
    <s v="Follow-up"/>
    <n v="2"/>
    <m/>
    <m/>
    <m/>
    <m/>
    <m/>
    <m/>
    <m/>
    <m/>
    <m/>
    <n v="3"/>
    <m/>
    <m/>
    <m/>
    <x v="9"/>
  </r>
  <r>
    <s v="P0757"/>
    <n v="23"/>
    <s v="Male"/>
    <s v="Cardiac"/>
    <s v="Neurology"/>
    <s v="Dr. Meena"/>
    <d v="2025-01-27T00:00:00"/>
    <d v="2025-02-16T00:00:00"/>
    <n v="127831"/>
    <s v="Private"/>
    <s v="Cash"/>
    <x v="1"/>
    <s v="Follow-up"/>
    <n v="1"/>
    <m/>
    <m/>
    <m/>
    <m/>
    <m/>
    <m/>
    <m/>
    <m/>
    <m/>
    <n v="1"/>
    <m/>
    <m/>
    <m/>
    <x v="4"/>
  </r>
  <r>
    <s v="P0758"/>
    <n v="31"/>
    <s v="Female"/>
    <s v="Neurological"/>
    <s v="Orthopedics"/>
    <s v="Dr. Priya"/>
    <d v="2025-08-22T00:00:00"/>
    <d v="2025-09-02T00:00:00"/>
    <n v="174278"/>
    <s v="None"/>
    <s v="Cash"/>
    <x v="0"/>
    <s v="Recovered"/>
    <n v="5"/>
    <m/>
    <m/>
    <m/>
    <m/>
    <m/>
    <m/>
    <m/>
    <m/>
    <m/>
    <n v="8"/>
    <m/>
    <m/>
    <m/>
    <x v="10"/>
  </r>
  <r>
    <s v="P0759"/>
    <n v="69"/>
    <s v="Female"/>
    <s v="Orthopedic"/>
    <s v="Pulmonology"/>
    <s v="Dr. Priya"/>
    <d v="2025-04-02T00:00:00"/>
    <d v="2025-04-08T00:00:00"/>
    <n v="39361"/>
    <s v="None"/>
    <s v="Insurance Claim"/>
    <x v="4"/>
    <s v="Under Treatment"/>
    <n v="5"/>
    <m/>
    <m/>
    <m/>
    <m/>
    <m/>
    <m/>
    <m/>
    <m/>
    <m/>
    <n v="4"/>
    <m/>
    <m/>
    <m/>
    <x v="0"/>
  </r>
  <r>
    <s v="P0760"/>
    <n v="66"/>
    <s v="Female"/>
    <s v="Respiratory"/>
    <s v="Pulmonology"/>
    <s v="Dr. Priya"/>
    <d v="2025-10-14T00:00:00"/>
    <d v="2025-11-03T00:00:00"/>
    <n v="145685"/>
    <s v="Government"/>
    <s v="UPI"/>
    <x v="2"/>
    <s v="Recovered"/>
    <n v="4"/>
    <m/>
    <m/>
    <m/>
    <m/>
    <m/>
    <m/>
    <m/>
    <m/>
    <m/>
    <n v="10"/>
    <m/>
    <m/>
    <m/>
    <x v="8"/>
  </r>
  <r>
    <s v="P0761"/>
    <n v="47"/>
    <s v="Male"/>
    <s v="Infection"/>
    <s v="Pulmonology"/>
    <s v="Dr. Kumar"/>
    <d v="2025-07-13T00:00:00"/>
    <d v="2025-07-16T00:00:00"/>
    <n v="237160"/>
    <s v="Corporate"/>
    <s v="Insurance Claim"/>
    <x v="1"/>
    <s v="Follow-up"/>
    <n v="2"/>
    <m/>
    <m/>
    <m/>
    <m/>
    <m/>
    <m/>
    <m/>
    <m/>
    <m/>
    <n v="7"/>
    <m/>
    <m/>
    <m/>
    <x v="7"/>
  </r>
  <r>
    <s v="P0762"/>
    <n v="38"/>
    <s v="Female"/>
    <s v="Cancer"/>
    <s v="Cardiology"/>
    <s v="Dr. Priya"/>
    <d v="2024-06-29T00:00:00"/>
    <d v="2024-07-15T00:00:00"/>
    <n v="56705"/>
    <s v="Government"/>
    <s v="Cash"/>
    <x v="1"/>
    <s v="Follow-up"/>
    <n v="2"/>
    <m/>
    <m/>
    <m/>
    <m/>
    <m/>
    <m/>
    <m/>
    <m/>
    <m/>
    <n v="6"/>
    <m/>
    <m/>
    <m/>
    <x v="11"/>
  </r>
  <r>
    <s v="P0763"/>
    <n v="45"/>
    <s v="Male"/>
    <s v="Neurological"/>
    <s v="Oncology"/>
    <s v="Dr. Arun"/>
    <d v="2024-07-01T00:00:00"/>
    <d v="2024-07-21T00:00:00"/>
    <n v="171434"/>
    <s v="Corporate"/>
    <s v="Card"/>
    <x v="0"/>
    <s v="Under Treatment"/>
    <n v="5"/>
    <m/>
    <m/>
    <m/>
    <m/>
    <m/>
    <m/>
    <m/>
    <m/>
    <m/>
    <n v="7"/>
    <m/>
    <m/>
    <m/>
    <x v="7"/>
  </r>
  <r>
    <s v="P0764"/>
    <n v="74"/>
    <s v="Female"/>
    <s v="Cancer"/>
    <s v="General Medicine"/>
    <s v="Dr. Priya"/>
    <d v="2025-06-14T00:00:00"/>
    <d v="2025-07-02T00:00:00"/>
    <n v="215324"/>
    <s v="Private"/>
    <s v="Card"/>
    <x v="2"/>
    <s v="Follow-up"/>
    <n v="4"/>
    <m/>
    <m/>
    <m/>
    <m/>
    <m/>
    <m/>
    <m/>
    <m/>
    <m/>
    <n v="6"/>
    <m/>
    <m/>
    <m/>
    <x v="11"/>
  </r>
  <r>
    <s v="P0765"/>
    <n v="75"/>
    <s v="Male"/>
    <s v="Diabetes"/>
    <s v="Cardiology"/>
    <s v="Dr. Raj"/>
    <d v="2024-08-25T00:00:00"/>
    <d v="2024-09-08T00:00:00"/>
    <n v="184715"/>
    <s v="Corporate"/>
    <s v="Card"/>
    <x v="4"/>
    <s v="Follow-up"/>
    <n v="1"/>
    <m/>
    <m/>
    <m/>
    <m/>
    <m/>
    <m/>
    <m/>
    <m/>
    <m/>
    <n v="8"/>
    <m/>
    <m/>
    <m/>
    <x v="10"/>
  </r>
  <r>
    <s v="P0766"/>
    <n v="43"/>
    <s v="Male"/>
    <s v="Neurological"/>
    <s v="Oncology"/>
    <s v="Dr. Arun"/>
    <d v="2025-03-07T00:00:00"/>
    <d v="2025-03-18T00:00:00"/>
    <n v="56753"/>
    <s v="None"/>
    <s v="Card"/>
    <x v="4"/>
    <s v="Follow-up"/>
    <n v="1"/>
    <m/>
    <m/>
    <m/>
    <m/>
    <m/>
    <m/>
    <m/>
    <m/>
    <m/>
    <n v="3"/>
    <m/>
    <m/>
    <m/>
    <x v="9"/>
  </r>
  <r>
    <s v="P0767"/>
    <n v="82"/>
    <s v="Male"/>
    <s v="Respiratory"/>
    <s v="General Medicine"/>
    <s v="Dr. Arun"/>
    <d v="2025-04-26T00:00:00"/>
    <d v="2025-05-04T00:00:00"/>
    <n v="143513"/>
    <s v="Corporate"/>
    <s v="Insurance Claim"/>
    <x v="1"/>
    <s v="Recovered"/>
    <n v="1"/>
    <m/>
    <m/>
    <m/>
    <m/>
    <m/>
    <m/>
    <m/>
    <m/>
    <m/>
    <n v="4"/>
    <m/>
    <m/>
    <m/>
    <x v="0"/>
  </r>
  <r>
    <s v="P0768"/>
    <n v="80"/>
    <s v="Female"/>
    <s v="Cancer"/>
    <s v="Orthopedics"/>
    <s v="Dr. Raj"/>
    <d v="2024-02-05T00:00:00"/>
    <d v="2024-02-16T00:00:00"/>
    <n v="20996"/>
    <s v="Government"/>
    <s v="Cash"/>
    <x v="4"/>
    <s v="Follow-up"/>
    <n v="1"/>
    <m/>
    <m/>
    <m/>
    <m/>
    <m/>
    <m/>
    <m/>
    <m/>
    <m/>
    <n v="2"/>
    <m/>
    <m/>
    <m/>
    <x v="3"/>
  </r>
  <r>
    <s v="P0769"/>
    <n v="74"/>
    <s v="Male"/>
    <s v="Cancer"/>
    <s v="Pulmonology"/>
    <s v="Dr. Kumar"/>
    <d v="2025-10-10T00:00:00"/>
    <d v="2025-10-22T00:00:00"/>
    <n v="105797"/>
    <s v="Corporate"/>
    <s v="Card"/>
    <x v="2"/>
    <s v="Recovered"/>
    <n v="2"/>
    <m/>
    <m/>
    <m/>
    <m/>
    <m/>
    <m/>
    <m/>
    <m/>
    <m/>
    <n v="10"/>
    <m/>
    <m/>
    <m/>
    <x v="8"/>
  </r>
  <r>
    <s v="P0770"/>
    <n v="83"/>
    <s v="Male"/>
    <s v="Neurological"/>
    <s v="Pulmonology"/>
    <s v="Dr. Kumar"/>
    <d v="2024-11-04T00:00:00"/>
    <d v="2024-11-14T00:00:00"/>
    <n v="31164"/>
    <s v="None"/>
    <s v="UPI"/>
    <x v="2"/>
    <s v="Under Treatment"/>
    <n v="2"/>
    <m/>
    <m/>
    <m/>
    <m/>
    <m/>
    <m/>
    <m/>
    <m/>
    <m/>
    <n v="11"/>
    <m/>
    <m/>
    <m/>
    <x v="6"/>
  </r>
  <r>
    <s v="P0771"/>
    <n v="63"/>
    <s v="Female"/>
    <s v="Diabetes"/>
    <s v="General Medicine"/>
    <s v="Dr. Kumar"/>
    <d v="2024-01-12T00:00:00"/>
    <d v="2024-01-26T00:00:00"/>
    <n v="200861"/>
    <s v="Government"/>
    <s v="Cash"/>
    <x v="2"/>
    <s v="Follow-up"/>
    <n v="2"/>
    <m/>
    <m/>
    <m/>
    <m/>
    <m/>
    <m/>
    <m/>
    <m/>
    <m/>
    <n v="1"/>
    <m/>
    <m/>
    <m/>
    <x v="4"/>
  </r>
  <r>
    <s v="P0772"/>
    <n v="48"/>
    <s v="Male"/>
    <s v="Cardiac"/>
    <s v="Oncology"/>
    <s v="Dr. Meena"/>
    <d v="2025-04-23T00:00:00"/>
    <d v="2025-04-30T00:00:00"/>
    <n v="64534"/>
    <s v="Government"/>
    <s v="Cash"/>
    <x v="0"/>
    <s v="Follow-up"/>
    <n v="5"/>
    <m/>
    <m/>
    <m/>
    <m/>
    <m/>
    <m/>
    <m/>
    <m/>
    <m/>
    <n v="4"/>
    <m/>
    <m/>
    <m/>
    <x v="0"/>
  </r>
  <r>
    <s v="P0773"/>
    <n v="32"/>
    <s v="Male"/>
    <s v="Cancer"/>
    <s v="Oncology"/>
    <s v="Dr. Priya"/>
    <d v="2025-01-13T00:00:00"/>
    <d v="2025-01-18T00:00:00"/>
    <n v="228621"/>
    <s v="Corporate"/>
    <s v="Insurance Claim"/>
    <x v="0"/>
    <s v="Follow-up"/>
    <n v="5"/>
    <m/>
    <m/>
    <m/>
    <m/>
    <m/>
    <m/>
    <m/>
    <m/>
    <m/>
    <n v="1"/>
    <m/>
    <m/>
    <m/>
    <x v="4"/>
  </r>
  <r>
    <s v="P0774"/>
    <n v="43"/>
    <s v="Male"/>
    <s v="Diabetes"/>
    <s v="Oncology"/>
    <s v="Dr. Meena"/>
    <d v="2025-08-23T00:00:00"/>
    <d v="2025-08-28T00:00:00"/>
    <n v="5466"/>
    <s v="None"/>
    <s v="Card"/>
    <x v="3"/>
    <s v="Under Treatment"/>
    <n v="3"/>
    <m/>
    <m/>
    <m/>
    <m/>
    <m/>
    <m/>
    <m/>
    <m/>
    <m/>
    <n v="8"/>
    <m/>
    <m/>
    <m/>
    <x v="10"/>
  </r>
  <r>
    <s v="P0775"/>
    <n v="78"/>
    <s v="Male"/>
    <s v="Cancer"/>
    <s v="General Medicine"/>
    <s v="Dr. Kumar"/>
    <d v="2024-05-22T00:00:00"/>
    <d v="2024-05-25T00:00:00"/>
    <n v="11285"/>
    <s v="Corporate"/>
    <s v="UPI"/>
    <x v="3"/>
    <s v="Recovered"/>
    <n v="5"/>
    <m/>
    <m/>
    <m/>
    <m/>
    <m/>
    <m/>
    <m/>
    <m/>
    <m/>
    <n v="5"/>
    <m/>
    <m/>
    <m/>
    <x v="5"/>
  </r>
  <r>
    <s v="P0776"/>
    <n v="22"/>
    <s v="Female"/>
    <s v="Cardiac"/>
    <s v="Pulmonology"/>
    <s v="Dr. Meena"/>
    <d v="2024-06-15T00:00:00"/>
    <d v="2024-06-19T00:00:00"/>
    <n v="89111"/>
    <s v="Private"/>
    <s v="Insurance Claim"/>
    <x v="4"/>
    <s v="Recovered"/>
    <n v="2"/>
    <m/>
    <m/>
    <m/>
    <m/>
    <m/>
    <m/>
    <m/>
    <m/>
    <m/>
    <n v="6"/>
    <m/>
    <m/>
    <m/>
    <x v="11"/>
  </r>
  <r>
    <s v="P0777"/>
    <n v="57"/>
    <s v="Female"/>
    <s v="Cardiac"/>
    <s v="Cardiology"/>
    <s v="Dr. Meena"/>
    <d v="2024-06-23T00:00:00"/>
    <d v="2024-06-29T00:00:00"/>
    <n v="72602"/>
    <s v="Corporate"/>
    <s v="Cash"/>
    <x v="1"/>
    <s v="Recovered"/>
    <n v="2"/>
    <m/>
    <m/>
    <m/>
    <m/>
    <m/>
    <m/>
    <m/>
    <m/>
    <m/>
    <n v="6"/>
    <m/>
    <m/>
    <m/>
    <x v="11"/>
  </r>
  <r>
    <s v="P0778"/>
    <n v="44"/>
    <s v="Male"/>
    <s v="Infection"/>
    <s v="Neurology"/>
    <s v="Dr. Priya"/>
    <d v="2024-02-23T00:00:00"/>
    <d v="2024-02-25T00:00:00"/>
    <n v="80847"/>
    <s v="Corporate"/>
    <s v="Card"/>
    <x v="0"/>
    <s v="Follow-up"/>
    <n v="3"/>
    <m/>
    <m/>
    <m/>
    <m/>
    <m/>
    <m/>
    <m/>
    <m/>
    <m/>
    <n v="2"/>
    <m/>
    <m/>
    <m/>
    <x v="3"/>
  </r>
  <r>
    <s v="P0779"/>
    <n v="33"/>
    <s v="Male"/>
    <s v="Respiratory"/>
    <s v="Orthopedics"/>
    <s v="Dr. Kumar"/>
    <d v="2025-02-11T00:00:00"/>
    <d v="2025-02-26T00:00:00"/>
    <n v="42913"/>
    <s v="Corporate"/>
    <s v="Cash"/>
    <x v="1"/>
    <s v="Follow-up"/>
    <n v="2"/>
    <m/>
    <m/>
    <m/>
    <m/>
    <m/>
    <m/>
    <m/>
    <m/>
    <m/>
    <n v="2"/>
    <m/>
    <m/>
    <m/>
    <x v="3"/>
  </r>
  <r>
    <s v="P0780"/>
    <n v="40"/>
    <s v="Male"/>
    <s v="Neurological"/>
    <s v="Pulmonology"/>
    <s v="Dr. Priya"/>
    <d v="2024-12-22T00:00:00"/>
    <d v="2025-01-08T00:00:00"/>
    <n v="35790"/>
    <s v="Government"/>
    <s v="Cash"/>
    <x v="2"/>
    <s v="Recovered"/>
    <n v="2"/>
    <m/>
    <m/>
    <m/>
    <m/>
    <m/>
    <m/>
    <m/>
    <m/>
    <m/>
    <n v="12"/>
    <m/>
    <m/>
    <m/>
    <x v="2"/>
  </r>
  <r>
    <s v="P0781"/>
    <n v="29"/>
    <s v="Male"/>
    <s v="Cancer"/>
    <s v="Oncology"/>
    <s v="Dr. Arun"/>
    <d v="2025-11-30T00:00:00"/>
    <d v="2025-12-05T00:00:00"/>
    <n v="34814"/>
    <s v="None"/>
    <s v="Insurance Claim"/>
    <x v="4"/>
    <s v="Under Treatment"/>
    <n v="2"/>
    <m/>
    <m/>
    <m/>
    <m/>
    <m/>
    <m/>
    <m/>
    <m/>
    <m/>
    <n v="11"/>
    <m/>
    <m/>
    <m/>
    <x v="6"/>
  </r>
  <r>
    <s v="P0782"/>
    <n v="45"/>
    <s v="Male"/>
    <s v="Orthopedic"/>
    <s v="Cardiology"/>
    <s v="Dr. Priya"/>
    <d v="2024-06-11T00:00:00"/>
    <d v="2024-06-16T00:00:00"/>
    <n v="113820"/>
    <s v="Private"/>
    <s v="UPI"/>
    <x v="1"/>
    <s v="Under Treatment"/>
    <n v="5"/>
    <m/>
    <m/>
    <m/>
    <m/>
    <m/>
    <m/>
    <m/>
    <m/>
    <m/>
    <n v="6"/>
    <m/>
    <m/>
    <m/>
    <x v="11"/>
  </r>
  <r>
    <s v="P0783"/>
    <n v="21"/>
    <s v="Female"/>
    <s v="Infection"/>
    <s v="Cardiology"/>
    <s v="Dr. Arun"/>
    <d v="2025-03-07T00:00:00"/>
    <d v="2025-03-16T00:00:00"/>
    <n v="224247"/>
    <s v="Corporate"/>
    <s v="Insurance Claim"/>
    <x v="2"/>
    <s v="Recovered"/>
    <n v="3"/>
    <m/>
    <m/>
    <m/>
    <m/>
    <m/>
    <m/>
    <m/>
    <m/>
    <m/>
    <n v="3"/>
    <m/>
    <m/>
    <m/>
    <x v="9"/>
  </r>
  <r>
    <s v="P0784"/>
    <n v="74"/>
    <s v="Male"/>
    <s v="Cancer"/>
    <s v="Orthopedics"/>
    <s v="Dr. Raj"/>
    <d v="2025-06-06T00:00:00"/>
    <d v="2025-06-09T00:00:00"/>
    <n v="111695"/>
    <s v="Private"/>
    <s v="Insurance Claim"/>
    <x v="4"/>
    <s v="Recovered"/>
    <n v="5"/>
    <m/>
    <m/>
    <m/>
    <m/>
    <m/>
    <m/>
    <m/>
    <m/>
    <m/>
    <n v="6"/>
    <m/>
    <m/>
    <m/>
    <x v="11"/>
  </r>
  <r>
    <s v="P0785"/>
    <n v="80"/>
    <s v="Female"/>
    <s v="Diabetes"/>
    <s v="Cardiology"/>
    <s v="Dr. Priya"/>
    <d v="2024-11-09T00:00:00"/>
    <d v="2024-11-20T00:00:00"/>
    <n v="108276"/>
    <s v="None"/>
    <s v="Card"/>
    <x v="4"/>
    <s v="Recovered"/>
    <n v="1"/>
    <m/>
    <m/>
    <m/>
    <m/>
    <m/>
    <m/>
    <m/>
    <m/>
    <m/>
    <n v="11"/>
    <m/>
    <m/>
    <m/>
    <x v="6"/>
  </r>
  <r>
    <s v="P0786"/>
    <n v="82"/>
    <s v="Female"/>
    <s v="Neurological"/>
    <s v="Neurology"/>
    <s v="Dr. Meena"/>
    <d v="2025-11-12T00:00:00"/>
    <d v="2025-11-14T00:00:00"/>
    <n v="156110"/>
    <s v="None"/>
    <s v="Insurance Claim"/>
    <x v="0"/>
    <s v="Follow-up"/>
    <n v="1"/>
    <m/>
    <m/>
    <m/>
    <m/>
    <m/>
    <m/>
    <m/>
    <m/>
    <m/>
    <n v="11"/>
    <m/>
    <m/>
    <m/>
    <x v="6"/>
  </r>
  <r>
    <s v="P0787"/>
    <n v="74"/>
    <s v="Female"/>
    <s v="Orthopedic"/>
    <s v="Orthopedics"/>
    <s v="Dr. Priya"/>
    <d v="2025-12-20T00:00:00"/>
    <d v="2026-01-06T00:00:00"/>
    <n v="40597"/>
    <s v="Private"/>
    <s v="Card"/>
    <x v="1"/>
    <s v="Under Treatment"/>
    <n v="4"/>
    <m/>
    <m/>
    <m/>
    <m/>
    <m/>
    <m/>
    <m/>
    <m/>
    <m/>
    <n v="12"/>
    <m/>
    <m/>
    <m/>
    <x v="2"/>
  </r>
  <r>
    <s v="P0788"/>
    <n v="67"/>
    <s v="Female"/>
    <s v="Orthopedic"/>
    <s v="Neurology"/>
    <s v="Dr. Arun"/>
    <d v="2025-12-05T00:00:00"/>
    <d v="2025-12-18T00:00:00"/>
    <n v="94830"/>
    <s v="Private"/>
    <s v="Insurance Claim"/>
    <x v="1"/>
    <s v="Follow-up"/>
    <n v="5"/>
    <m/>
    <m/>
    <m/>
    <m/>
    <m/>
    <m/>
    <m/>
    <m/>
    <m/>
    <n v="12"/>
    <m/>
    <m/>
    <m/>
    <x v="2"/>
  </r>
  <r>
    <s v="P0789"/>
    <n v="33"/>
    <s v="Male"/>
    <s v="Cancer"/>
    <s v="General Medicine"/>
    <s v="Dr. Kumar"/>
    <d v="2025-10-08T00:00:00"/>
    <d v="2025-10-24T00:00:00"/>
    <n v="113156"/>
    <s v="None"/>
    <s v="Insurance Claim"/>
    <x v="4"/>
    <s v="Recovered"/>
    <n v="4"/>
    <m/>
    <m/>
    <m/>
    <m/>
    <m/>
    <m/>
    <m/>
    <m/>
    <m/>
    <n v="10"/>
    <m/>
    <m/>
    <m/>
    <x v="8"/>
  </r>
  <r>
    <s v="P0790"/>
    <n v="66"/>
    <s v="Male"/>
    <s v="Infection"/>
    <s v="General Medicine"/>
    <s v="Dr. Kumar"/>
    <d v="2025-04-27T00:00:00"/>
    <d v="2025-05-03T00:00:00"/>
    <n v="176860"/>
    <s v="None"/>
    <s v="UPI"/>
    <x v="4"/>
    <s v="Recovered"/>
    <n v="2"/>
    <m/>
    <m/>
    <m/>
    <m/>
    <m/>
    <m/>
    <m/>
    <m/>
    <m/>
    <n v="4"/>
    <m/>
    <m/>
    <m/>
    <x v="0"/>
  </r>
  <r>
    <s v="P0791"/>
    <n v="39"/>
    <s v="Male"/>
    <s v="Neurological"/>
    <s v="General Medicine"/>
    <s v="Dr. Kumar"/>
    <d v="2024-09-10T00:00:00"/>
    <d v="2024-09-14T00:00:00"/>
    <n v="56977"/>
    <s v="Private"/>
    <s v="Card"/>
    <x v="4"/>
    <s v="Recovered"/>
    <n v="2"/>
    <m/>
    <m/>
    <m/>
    <m/>
    <m/>
    <m/>
    <m/>
    <m/>
    <m/>
    <n v="9"/>
    <m/>
    <m/>
    <m/>
    <x v="1"/>
  </r>
  <r>
    <s v="P0792"/>
    <n v="24"/>
    <s v="Female"/>
    <s v="Neurological"/>
    <s v="General Medicine"/>
    <s v="Dr. Meena"/>
    <d v="2025-03-30T00:00:00"/>
    <d v="2025-04-01T00:00:00"/>
    <n v="10661"/>
    <s v="Private"/>
    <s v="Cash"/>
    <x v="3"/>
    <s v="Follow-up"/>
    <n v="2"/>
    <m/>
    <m/>
    <m/>
    <m/>
    <m/>
    <m/>
    <m/>
    <m/>
    <m/>
    <n v="3"/>
    <m/>
    <m/>
    <m/>
    <x v="9"/>
  </r>
  <r>
    <s v="P0793"/>
    <n v="43"/>
    <s v="Female"/>
    <s v="Cancer"/>
    <s v="Cardiology"/>
    <s v="Dr. Meena"/>
    <d v="2025-06-06T00:00:00"/>
    <d v="2025-06-20T00:00:00"/>
    <n v="72325"/>
    <s v="Corporate"/>
    <s v="UPI"/>
    <x v="1"/>
    <s v="Under Treatment"/>
    <n v="5"/>
    <m/>
    <m/>
    <m/>
    <m/>
    <m/>
    <m/>
    <m/>
    <m/>
    <m/>
    <n v="6"/>
    <m/>
    <m/>
    <m/>
    <x v="11"/>
  </r>
  <r>
    <s v="P0794"/>
    <n v="52"/>
    <s v="Male"/>
    <s v="Cancer"/>
    <s v="Neurology"/>
    <s v="Dr. Kumar"/>
    <d v="2025-04-08T00:00:00"/>
    <d v="2025-04-22T00:00:00"/>
    <n v="112511"/>
    <s v="None"/>
    <s v="UPI"/>
    <x v="3"/>
    <s v="Under Treatment"/>
    <n v="5"/>
    <m/>
    <m/>
    <m/>
    <m/>
    <m/>
    <m/>
    <m/>
    <m/>
    <m/>
    <n v="4"/>
    <m/>
    <m/>
    <m/>
    <x v="0"/>
  </r>
  <r>
    <s v="P0795"/>
    <n v="61"/>
    <s v="Female"/>
    <s v="Respiratory"/>
    <s v="Oncology"/>
    <s v="Dr. Raj"/>
    <d v="2025-05-05T00:00:00"/>
    <d v="2025-05-23T00:00:00"/>
    <n v="18093"/>
    <s v="Government"/>
    <s v="Cash"/>
    <x v="2"/>
    <s v="Recovered"/>
    <n v="3"/>
    <m/>
    <m/>
    <m/>
    <m/>
    <m/>
    <m/>
    <m/>
    <m/>
    <m/>
    <n v="5"/>
    <m/>
    <m/>
    <m/>
    <x v="5"/>
  </r>
  <r>
    <s v="P0796"/>
    <n v="81"/>
    <s v="Female"/>
    <s v="Cancer"/>
    <s v="Neurology"/>
    <s v="Dr. Meena"/>
    <d v="2024-02-17T00:00:00"/>
    <d v="2024-02-18T00:00:00"/>
    <n v="21173"/>
    <s v="Corporate"/>
    <s v="UPI"/>
    <x v="1"/>
    <s v="Recovered"/>
    <n v="4"/>
    <m/>
    <m/>
    <m/>
    <m/>
    <m/>
    <m/>
    <m/>
    <m/>
    <m/>
    <n v="2"/>
    <m/>
    <m/>
    <m/>
    <x v="3"/>
  </r>
  <r>
    <s v="P0797"/>
    <n v="54"/>
    <s v="Female"/>
    <s v="Respiratory"/>
    <s v="Oncology"/>
    <s v="Dr. Kumar"/>
    <d v="2025-07-20T00:00:00"/>
    <d v="2025-07-26T00:00:00"/>
    <n v="15399"/>
    <s v="Private"/>
    <s v="UPI"/>
    <x v="3"/>
    <s v="Under Treatment"/>
    <n v="5"/>
    <m/>
    <m/>
    <m/>
    <m/>
    <m/>
    <m/>
    <m/>
    <m/>
    <m/>
    <n v="7"/>
    <m/>
    <m/>
    <m/>
    <x v="7"/>
  </r>
  <r>
    <s v="P0798"/>
    <n v="40"/>
    <s v="Male"/>
    <s v="Cancer"/>
    <s v="Orthopedics"/>
    <s v="Dr. Kumar"/>
    <d v="2024-09-23T00:00:00"/>
    <d v="2024-09-28T00:00:00"/>
    <n v="55347"/>
    <s v="Corporate"/>
    <s v="UPI"/>
    <x v="1"/>
    <s v="Recovered"/>
    <n v="2"/>
    <m/>
    <m/>
    <m/>
    <m/>
    <m/>
    <m/>
    <m/>
    <m/>
    <m/>
    <n v="9"/>
    <m/>
    <m/>
    <m/>
    <x v="1"/>
  </r>
  <r>
    <s v="P0799"/>
    <n v="59"/>
    <s v="Female"/>
    <s v="Respiratory"/>
    <s v="Orthopedics"/>
    <s v="Dr. Arun"/>
    <d v="2024-11-09T00:00:00"/>
    <d v="2024-11-21T00:00:00"/>
    <n v="247026"/>
    <s v="Corporate"/>
    <s v="Card"/>
    <x v="1"/>
    <s v="Under Treatment"/>
    <n v="1"/>
    <m/>
    <m/>
    <m/>
    <m/>
    <m/>
    <m/>
    <m/>
    <m/>
    <m/>
    <n v="11"/>
    <m/>
    <m/>
    <m/>
    <x v="6"/>
  </r>
  <r>
    <s v="P0800"/>
    <n v="43"/>
    <s v="Male"/>
    <s v="Infection"/>
    <s v="Cardiology"/>
    <s v="Dr. Raj"/>
    <d v="2025-07-09T00:00:00"/>
    <d v="2025-07-19T00:00:00"/>
    <n v="25548"/>
    <s v="Corporate"/>
    <s v="Cash"/>
    <x v="1"/>
    <s v="Follow-up"/>
    <n v="1"/>
    <m/>
    <m/>
    <m/>
    <m/>
    <m/>
    <m/>
    <m/>
    <m/>
    <m/>
    <n v="7"/>
    <m/>
    <m/>
    <m/>
    <x v="7"/>
  </r>
  <r>
    <s v="P0801"/>
    <n v="60"/>
    <s v="Male"/>
    <s v="Cardiac"/>
    <s v="Neurology"/>
    <s v="Dr. Arun"/>
    <d v="2024-09-01T00:00:00"/>
    <d v="2024-09-21T00:00:00"/>
    <n v="188353"/>
    <s v="Corporate"/>
    <s v="Insurance Claim"/>
    <x v="0"/>
    <s v="Recovered"/>
    <n v="2"/>
    <m/>
    <m/>
    <m/>
    <m/>
    <m/>
    <m/>
    <m/>
    <m/>
    <m/>
    <n v="9"/>
    <m/>
    <m/>
    <m/>
    <x v="1"/>
  </r>
  <r>
    <s v="P0802"/>
    <n v="66"/>
    <s v="Female"/>
    <s v="Neurological"/>
    <s v="Orthopedics"/>
    <s v="Dr. Meena"/>
    <d v="2025-04-27T00:00:00"/>
    <d v="2025-05-16T00:00:00"/>
    <n v="49614"/>
    <s v="Corporate"/>
    <s v="Card"/>
    <x v="3"/>
    <s v="Under Treatment"/>
    <n v="1"/>
    <m/>
    <m/>
    <m/>
    <m/>
    <m/>
    <m/>
    <m/>
    <m/>
    <m/>
    <n v="4"/>
    <m/>
    <m/>
    <m/>
    <x v="0"/>
  </r>
  <r>
    <s v="P0803"/>
    <n v="46"/>
    <s v="Male"/>
    <s v="Respiratory"/>
    <s v="Cardiology"/>
    <s v="Dr. Meena"/>
    <d v="2025-09-20T00:00:00"/>
    <d v="2025-09-26T00:00:00"/>
    <n v="15348"/>
    <s v="None"/>
    <s v="Cash"/>
    <x v="3"/>
    <s v="Under Treatment"/>
    <n v="5"/>
    <m/>
    <m/>
    <m/>
    <m/>
    <m/>
    <m/>
    <m/>
    <m/>
    <m/>
    <n v="9"/>
    <m/>
    <m/>
    <m/>
    <x v="1"/>
  </r>
  <r>
    <s v="P0804"/>
    <n v="73"/>
    <s v="Male"/>
    <s v="Diabetes"/>
    <s v="Neurology"/>
    <s v="Dr. Meena"/>
    <d v="2024-03-19T00:00:00"/>
    <d v="2024-04-04T00:00:00"/>
    <n v="227357"/>
    <s v="Government"/>
    <s v="UPI"/>
    <x v="0"/>
    <s v="Follow-up"/>
    <n v="3"/>
    <m/>
    <m/>
    <m/>
    <m/>
    <m/>
    <m/>
    <m/>
    <m/>
    <m/>
    <n v="3"/>
    <m/>
    <m/>
    <m/>
    <x v="9"/>
  </r>
  <r>
    <s v="P0805"/>
    <n v="61"/>
    <s v="Female"/>
    <s v="Neurological"/>
    <s v="Cardiology"/>
    <s v="Dr. Arun"/>
    <d v="2024-07-23T00:00:00"/>
    <d v="2024-07-31T00:00:00"/>
    <n v="237702"/>
    <s v="None"/>
    <s v="Card"/>
    <x v="2"/>
    <s v="Recovered"/>
    <n v="3"/>
    <m/>
    <m/>
    <m/>
    <m/>
    <m/>
    <m/>
    <m/>
    <m/>
    <m/>
    <n v="7"/>
    <m/>
    <m/>
    <m/>
    <x v="7"/>
  </r>
  <r>
    <s v="P0806"/>
    <n v="60"/>
    <s v="Female"/>
    <s v="Respiratory"/>
    <s v="Oncology"/>
    <s v="Dr. Raj"/>
    <d v="2024-11-22T00:00:00"/>
    <d v="2024-12-06T00:00:00"/>
    <n v="12723"/>
    <s v="Government"/>
    <s v="Insurance Claim"/>
    <x v="3"/>
    <s v="Recovered"/>
    <n v="1"/>
    <m/>
    <m/>
    <m/>
    <m/>
    <m/>
    <m/>
    <m/>
    <m/>
    <m/>
    <n v="11"/>
    <m/>
    <m/>
    <m/>
    <x v="6"/>
  </r>
  <r>
    <s v="P0807"/>
    <n v="38"/>
    <s v="Male"/>
    <s v="Infection"/>
    <s v="Orthopedics"/>
    <s v="Dr. Kumar"/>
    <d v="2025-10-02T00:00:00"/>
    <d v="2025-10-19T00:00:00"/>
    <n v="47002"/>
    <s v="Government"/>
    <s v="Insurance Claim"/>
    <x v="4"/>
    <s v="Follow-up"/>
    <n v="3"/>
    <m/>
    <m/>
    <m/>
    <m/>
    <m/>
    <m/>
    <m/>
    <m/>
    <m/>
    <n v="10"/>
    <m/>
    <m/>
    <m/>
    <x v="8"/>
  </r>
  <r>
    <s v="P0808"/>
    <n v="27"/>
    <s v="Female"/>
    <s v="Orthopedic"/>
    <s v="Orthopedics"/>
    <s v="Dr. Raj"/>
    <d v="2024-05-03T00:00:00"/>
    <d v="2024-05-06T00:00:00"/>
    <n v="107292"/>
    <s v="None"/>
    <s v="UPI"/>
    <x v="4"/>
    <s v="Under Treatment"/>
    <n v="2"/>
    <m/>
    <m/>
    <m/>
    <m/>
    <m/>
    <m/>
    <m/>
    <m/>
    <m/>
    <n v="5"/>
    <m/>
    <m/>
    <m/>
    <x v="5"/>
  </r>
  <r>
    <s v="P0809"/>
    <n v="83"/>
    <s v="Female"/>
    <s v="Respiratory"/>
    <s v="General Medicine"/>
    <s v="Dr. Meena"/>
    <d v="2024-06-17T00:00:00"/>
    <d v="2024-06-20T00:00:00"/>
    <n v="91881"/>
    <s v="None"/>
    <s v="Insurance Claim"/>
    <x v="4"/>
    <s v="Recovered"/>
    <n v="2"/>
    <m/>
    <m/>
    <m/>
    <m/>
    <m/>
    <m/>
    <m/>
    <m/>
    <m/>
    <n v="6"/>
    <m/>
    <m/>
    <m/>
    <x v="11"/>
  </r>
  <r>
    <s v="P0810"/>
    <n v="24"/>
    <s v="Male"/>
    <s v="Respiratory"/>
    <s v="Cardiology"/>
    <s v="Dr. Arun"/>
    <d v="2024-12-19T00:00:00"/>
    <d v="2025-01-06T00:00:00"/>
    <n v="105996"/>
    <s v="Private"/>
    <s v="Insurance Claim"/>
    <x v="4"/>
    <s v="Recovered"/>
    <n v="1"/>
    <m/>
    <m/>
    <m/>
    <m/>
    <m/>
    <m/>
    <m/>
    <m/>
    <m/>
    <n v="12"/>
    <m/>
    <m/>
    <m/>
    <x v="2"/>
  </r>
  <r>
    <s v="P0811"/>
    <n v="70"/>
    <s v="Female"/>
    <s v="Respiratory"/>
    <s v="Oncology"/>
    <s v="Dr. Kumar"/>
    <d v="2025-04-03T00:00:00"/>
    <d v="2025-04-17T00:00:00"/>
    <n v="20229"/>
    <s v="Government"/>
    <s v="Card"/>
    <x v="4"/>
    <s v="Follow-up"/>
    <n v="4"/>
    <m/>
    <m/>
    <m/>
    <m/>
    <m/>
    <m/>
    <m/>
    <m/>
    <m/>
    <n v="4"/>
    <m/>
    <m/>
    <m/>
    <x v="0"/>
  </r>
  <r>
    <s v="P0812"/>
    <n v="29"/>
    <s v="Female"/>
    <s v="Cardiac"/>
    <s v="Pulmonology"/>
    <s v="Dr. Arun"/>
    <d v="2025-06-09T00:00:00"/>
    <d v="2025-06-20T00:00:00"/>
    <n v="69921"/>
    <s v="Private"/>
    <s v="UPI"/>
    <x v="2"/>
    <s v="Under Treatment"/>
    <n v="1"/>
    <m/>
    <m/>
    <m/>
    <m/>
    <m/>
    <m/>
    <m/>
    <m/>
    <m/>
    <n v="6"/>
    <m/>
    <m/>
    <m/>
    <x v="11"/>
  </r>
  <r>
    <s v="P0813"/>
    <n v="25"/>
    <s v="Male"/>
    <s v="Infection"/>
    <s v="Orthopedics"/>
    <s v="Dr. Meena"/>
    <d v="2024-05-20T00:00:00"/>
    <d v="2024-05-25T00:00:00"/>
    <n v="95601"/>
    <s v="None"/>
    <s v="UPI"/>
    <x v="4"/>
    <s v="Recovered"/>
    <n v="4"/>
    <m/>
    <m/>
    <m/>
    <m/>
    <m/>
    <m/>
    <m/>
    <m/>
    <m/>
    <n v="5"/>
    <m/>
    <m/>
    <m/>
    <x v="5"/>
  </r>
  <r>
    <s v="P0814"/>
    <n v="52"/>
    <s v="Male"/>
    <s v="Orthopedic"/>
    <s v="General Medicine"/>
    <s v="Dr. Arun"/>
    <d v="2025-12-02T00:00:00"/>
    <d v="2025-12-13T00:00:00"/>
    <n v="76848"/>
    <s v="Private"/>
    <s v="Insurance Claim"/>
    <x v="0"/>
    <s v="Follow-up"/>
    <n v="2"/>
    <m/>
    <m/>
    <m/>
    <m/>
    <m/>
    <m/>
    <m/>
    <m/>
    <m/>
    <n v="12"/>
    <m/>
    <m/>
    <m/>
    <x v="2"/>
  </r>
  <r>
    <s v="P0815"/>
    <n v="52"/>
    <s v="Male"/>
    <s v="Cancer"/>
    <s v="Oncology"/>
    <s v="Dr. Kumar"/>
    <d v="2024-07-31T00:00:00"/>
    <d v="2024-08-06T00:00:00"/>
    <n v="58391"/>
    <s v="Private"/>
    <s v="UPI"/>
    <x v="2"/>
    <s v="Follow-up"/>
    <n v="5"/>
    <m/>
    <m/>
    <m/>
    <m/>
    <m/>
    <m/>
    <m/>
    <m/>
    <m/>
    <n v="7"/>
    <m/>
    <m/>
    <m/>
    <x v="7"/>
  </r>
  <r>
    <s v="P0816"/>
    <n v="60"/>
    <s v="Male"/>
    <s v="Respiratory"/>
    <s v="General Medicine"/>
    <s v="Dr. Arun"/>
    <d v="2024-06-15T00:00:00"/>
    <d v="2024-06-23T00:00:00"/>
    <n v="13122"/>
    <s v="Government"/>
    <s v="UPI"/>
    <x v="4"/>
    <s v="Under Treatment"/>
    <n v="2"/>
    <m/>
    <m/>
    <m/>
    <m/>
    <m/>
    <m/>
    <m/>
    <m/>
    <m/>
    <n v="6"/>
    <m/>
    <m/>
    <m/>
    <x v="11"/>
  </r>
  <r>
    <s v="P0817"/>
    <n v="48"/>
    <s v="Male"/>
    <s v="Infection"/>
    <s v="Oncology"/>
    <s v="Dr. Arun"/>
    <d v="2025-05-30T00:00:00"/>
    <d v="2025-06-08T00:00:00"/>
    <n v="9245"/>
    <s v="None"/>
    <s v="Card"/>
    <x v="4"/>
    <s v="Recovered"/>
    <n v="5"/>
    <m/>
    <m/>
    <m/>
    <m/>
    <m/>
    <m/>
    <m/>
    <m/>
    <m/>
    <n v="5"/>
    <m/>
    <m/>
    <m/>
    <x v="5"/>
  </r>
  <r>
    <s v="P0818"/>
    <n v="19"/>
    <s v="Female"/>
    <s v="Cancer"/>
    <s v="Cardiology"/>
    <s v="Dr. Kumar"/>
    <d v="2025-03-18T00:00:00"/>
    <d v="2025-04-07T00:00:00"/>
    <n v="89210"/>
    <s v="Government"/>
    <s v="Cash"/>
    <x v="4"/>
    <s v="Follow-up"/>
    <n v="1"/>
    <m/>
    <m/>
    <m/>
    <m/>
    <m/>
    <m/>
    <m/>
    <m/>
    <m/>
    <n v="3"/>
    <m/>
    <m/>
    <m/>
    <x v="9"/>
  </r>
  <r>
    <s v="P0819"/>
    <n v="23"/>
    <s v="Male"/>
    <s v="Orthopedic"/>
    <s v="Pulmonology"/>
    <s v="Dr. Raj"/>
    <d v="2025-02-23T00:00:00"/>
    <d v="2025-03-03T00:00:00"/>
    <n v="196937"/>
    <s v="Private"/>
    <s v="Cash"/>
    <x v="2"/>
    <s v="Recovered"/>
    <n v="5"/>
    <m/>
    <m/>
    <m/>
    <m/>
    <m/>
    <m/>
    <m/>
    <m/>
    <m/>
    <n v="2"/>
    <m/>
    <m/>
    <m/>
    <x v="3"/>
  </r>
  <r>
    <s v="P0820"/>
    <n v="22"/>
    <s v="Male"/>
    <s v="Orthopedic"/>
    <s v="Cardiology"/>
    <s v="Dr. Arun"/>
    <d v="2024-04-25T00:00:00"/>
    <d v="2024-05-03T00:00:00"/>
    <n v="172619"/>
    <s v="None"/>
    <s v="Cash"/>
    <x v="4"/>
    <s v="Under Treatment"/>
    <n v="1"/>
    <m/>
    <m/>
    <m/>
    <m/>
    <m/>
    <m/>
    <m/>
    <m/>
    <m/>
    <n v="4"/>
    <m/>
    <m/>
    <m/>
    <x v="0"/>
  </r>
  <r>
    <s v="P0821"/>
    <n v="63"/>
    <s v="Female"/>
    <s v="Cardiac"/>
    <s v="Pulmonology"/>
    <s v="Dr. Priya"/>
    <d v="2024-11-02T00:00:00"/>
    <d v="2024-11-08T00:00:00"/>
    <n v="76521"/>
    <s v="Private"/>
    <s v="Card"/>
    <x v="1"/>
    <s v="Recovered"/>
    <n v="2"/>
    <m/>
    <m/>
    <m/>
    <m/>
    <m/>
    <m/>
    <m/>
    <m/>
    <m/>
    <n v="11"/>
    <m/>
    <m/>
    <m/>
    <x v="6"/>
  </r>
  <r>
    <s v="P0822"/>
    <n v="85"/>
    <s v="Male"/>
    <s v="Neurological"/>
    <s v="Cardiology"/>
    <s v="Dr. Kumar"/>
    <d v="2025-08-27T00:00:00"/>
    <d v="2025-09-08T00:00:00"/>
    <n v="231195"/>
    <s v="None"/>
    <s v="Card"/>
    <x v="2"/>
    <s v="Recovered"/>
    <n v="2"/>
    <m/>
    <m/>
    <m/>
    <m/>
    <m/>
    <m/>
    <m/>
    <m/>
    <m/>
    <n v="8"/>
    <m/>
    <m/>
    <m/>
    <x v="10"/>
  </r>
  <r>
    <s v="P0823"/>
    <n v="69"/>
    <s v="Female"/>
    <s v="Respiratory"/>
    <s v="Cardiology"/>
    <s v="Dr. Raj"/>
    <d v="2025-07-13T00:00:00"/>
    <d v="2025-07-23T00:00:00"/>
    <n v="68456"/>
    <s v="Government"/>
    <s v="Insurance Claim"/>
    <x v="2"/>
    <s v="Recovered"/>
    <n v="3"/>
    <m/>
    <m/>
    <m/>
    <m/>
    <m/>
    <m/>
    <m/>
    <m/>
    <m/>
    <n v="7"/>
    <m/>
    <m/>
    <m/>
    <x v="7"/>
  </r>
  <r>
    <s v="P0824"/>
    <n v="58"/>
    <s v="Female"/>
    <s v="Cardiac"/>
    <s v="Neurology"/>
    <s v="Dr. Arun"/>
    <d v="2024-02-12T00:00:00"/>
    <d v="2024-02-22T00:00:00"/>
    <n v="22440"/>
    <s v="Corporate"/>
    <s v="Cash"/>
    <x v="1"/>
    <s v="Recovered"/>
    <n v="1"/>
    <m/>
    <m/>
    <m/>
    <m/>
    <m/>
    <m/>
    <m/>
    <m/>
    <m/>
    <n v="2"/>
    <m/>
    <m/>
    <m/>
    <x v="3"/>
  </r>
  <r>
    <s v="P0825"/>
    <n v="24"/>
    <s v="Male"/>
    <s v="Orthopedic"/>
    <s v="Neurology"/>
    <s v="Dr. Raj"/>
    <d v="2025-05-28T00:00:00"/>
    <d v="2025-06-06T00:00:00"/>
    <n v="82105"/>
    <s v="Government"/>
    <s v="UPI"/>
    <x v="2"/>
    <s v="Recovered"/>
    <n v="1"/>
    <m/>
    <m/>
    <m/>
    <m/>
    <m/>
    <m/>
    <m/>
    <m/>
    <m/>
    <n v="5"/>
    <m/>
    <m/>
    <m/>
    <x v="5"/>
  </r>
  <r>
    <s v="P0826"/>
    <n v="80"/>
    <s v="Female"/>
    <s v="Cancer"/>
    <s v="Oncology"/>
    <s v="Dr. Raj"/>
    <d v="2024-09-17T00:00:00"/>
    <d v="2024-09-28T00:00:00"/>
    <n v="199192"/>
    <s v="None"/>
    <s v="Card"/>
    <x v="2"/>
    <s v="Under Treatment"/>
    <n v="2"/>
    <m/>
    <m/>
    <m/>
    <m/>
    <m/>
    <m/>
    <m/>
    <m/>
    <m/>
    <n v="9"/>
    <m/>
    <m/>
    <m/>
    <x v="1"/>
  </r>
  <r>
    <s v="P0827"/>
    <n v="67"/>
    <s v="Female"/>
    <s v="Respiratory"/>
    <s v="Cardiology"/>
    <s v="Dr. Priya"/>
    <d v="2025-01-15T00:00:00"/>
    <d v="2025-01-26T00:00:00"/>
    <n v="237038"/>
    <s v="Private"/>
    <s v="Cash"/>
    <x v="3"/>
    <s v="Under Treatment"/>
    <n v="5"/>
    <m/>
    <m/>
    <m/>
    <m/>
    <m/>
    <m/>
    <m/>
    <m/>
    <m/>
    <n v="1"/>
    <m/>
    <m/>
    <m/>
    <x v="4"/>
  </r>
  <r>
    <s v="P0828"/>
    <n v="49"/>
    <s v="Male"/>
    <s v="Respiratory"/>
    <s v="General Medicine"/>
    <s v="Dr. Meena"/>
    <d v="2025-08-12T00:00:00"/>
    <d v="2025-08-30T00:00:00"/>
    <n v="96196"/>
    <s v="Private"/>
    <s v="UPI"/>
    <x v="2"/>
    <s v="Under Treatment"/>
    <n v="3"/>
    <m/>
    <m/>
    <m/>
    <m/>
    <m/>
    <m/>
    <m/>
    <m/>
    <m/>
    <n v="8"/>
    <m/>
    <m/>
    <m/>
    <x v="10"/>
  </r>
  <r>
    <s v="P0829"/>
    <n v="61"/>
    <s v="Female"/>
    <s v="Respiratory"/>
    <s v="Oncology"/>
    <s v="Dr. Kumar"/>
    <d v="2024-11-11T00:00:00"/>
    <d v="2024-12-01T00:00:00"/>
    <n v="231770"/>
    <s v="None"/>
    <s v="Card"/>
    <x v="1"/>
    <s v="Follow-up"/>
    <n v="3"/>
    <m/>
    <m/>
    <m/>
    <m/>
    <m/>
    <m/>
    <m/>
    <m/>
    <m/>
    <n v="11"/>
    <m/>
    <m/>
    <m/>
    <x v="6"/>
  </r>
  <r>
    <s v="P0830"/>
    <n v="83"/>
    <s v="Female"/>
    <s v="Cardiac"/>
    <s v="General Medicine"/>
    <s v="Dr. Meena"/>
    <d v="2024-09-05T00:00:00"/>
    <d v="2024-09-10T00:00:00"/>
    <n v="194000"/>
    <s v="Government"/>
    <s v="UPI"/>
    <x v="3"/>
    <s v="Under Treatment"/>
    <n v="5"/>
    <m/>
    <m/>
    <m/>
    <m/>
    <m/>
    <m/>
    <m/>
    <m/>
    <m/>
    <n v="9"/>
    <m/>
    <m/>
    <m/>
    <x v="1"/>
  </r>
  <r>
    <s v="P0831"/>
    <n v="31"/>
    <s v="Female"/>
    <s v="Respiratory"/>
    <s v="Orthopedics"/>
    <s v="Dr. Arun"/>
    <d v="2024-08-20T00:00:00"/>
    <d v="2024-09-07T00:00:00"/>
    <n v="130603"/>
    <s v="None"/>
    <s v="Insurance Claim"/>
    <x v="2"/>
    <s v="Follow-up"/>
    <n v="1"/>
    <m/>
    <m/>
    <m/>
    <m/>
    <m/>
    <m/>
    <m/>
    <m/>
    <m/>
    <n v="8"/>
    <m/>
    <m/>
    <m/>
    <x v="10"/>
  </r>
  <r>
    <s v="P0832"/>
    <n v="35"/>
    <s v="Male"/>
    <s v="Orthopedic"/>
    <s v="Cardiology"/>
    <s v="Dr. Kumar"/>
    <d v="2025-06-10T00:00:00"/>
    <d v="2025-06-19T00:00:00"/>
    <n v="156978"/>
    <s v="Private"/>
    <s v="Insurance Claim"/>
    <x v="0"/>
    <s v="Follow-up"/>
    <n v="4"/>
    <m/>
    <m/>
    <m/>
    <m/>
    <m/>
    <m/>
    <m/>
    <m/>
    <m/>
    <n v="6"/>
    <m/>
    <m/>
    <m/>
    <x v="11"/>
  </r>
  <r>
    <s v="P0833"/>
    <n v="75"/>
    <s v="Male"/>
    <s v="Infection"/>
    <s v="General Medicine"/>
    <s v="Dr. Kumar"/>
    <d v="2024-05-20T00:00:00"/>
    <d v="2024-05-21T00:00:00"/>
    <n v="236669"/>
    <s v="Private"/>
    <s v="Insurance Claim"/>
    <x v="3"/>
    <s v="Recovered"/>
    <n v="3"/>
    <m/>
    <m/>
    <m/>
    <m/>
    <m/>
    <m/>
    <m/>
    <m/>
    <m/>
    <n v="5"/>
    <m/>
    <m/>
    <m/>
    <x v="5"/>
  </r>
  <r>
    <s v="P0834"/>
    <n v="30"/>
    <s v="Male"/>
    <s v="Cardiac"/>
    <s v="Pulmonology"/>
    <s v="Dr. Arun"/>
    <d v="2025-08-02T00:00:00"/>
    <d v="2025-08-07T00:00:00"/>
    <n v="132765"/>
    <s v="None"/>
    <s v="Cash"/>
    <x v="2"/>
    <s v="Recovered"/>
    <n v="2"/>
    <m/>
    <m/>
    <m/>
    <m/>
    <m/>
    <m/>
    <m/>
    <m/>
    <m/>
    <n v="8"/>
    <m/>
    <m/>
    <m/>
    <x v="10"/>
  </r>
  <r>
    <s v="P0835"/>
    <n v="64"/>
    <s v="Male"/>
    <s v="Cardiac"/>
    <s v="Neurology"/>
    <s v="Dr. Raj"/>
    <d v="2024-09-12T00:00:00"/>
    <d v="2024-09-30T00:00:00"/>
    <n v="224522"/>
    <s v="Government"/>
    <s v="UPI"/>
    <x v="2"/>
    <s v="Follow-up"/>
    <n v="1"/>
    <m/>
    <m/>
    <m/>
    <m/>
    <m/>
    <m/>
    <m/>
    <m/>
    <m/>
    <n v="9"/>
    <m/>
    <m/>
    <m/>
    <x v="1"/>
  </r>
  <r>
    <s v="P0836"/>
    <n v="40"/>
    <s v="Female"/>
    <s v="Cardiac"/>
    <s v="Neurology"/>
    <s v="Dr. Priya"/>
    <d v="2025-05-12T00:00:00"/>
    <d v="2025-05-18T00:00:00"/>
    <n v="215143"/>
    <s v="Corporate"/>
    <s v="UPI"/>
    <x v="1"/>
    <s v="Under Treatment"/>
    <n v="5"/>
    <m/>
    <m/>
    <m/>
    <m/>
    <m/>
    <m/>
    <m/>
    <m/>
    <m/>
    <n v="5"/>
    <m/>
    <m/>
    <m/>
    <x v="5"/>
  </r>
  <r>
    <s v="P0837"/>
    <n v="75"/>
    <s v="Female"/>
    <s v="Diabetes"/>
    <s v="Oncology"/>
    <s v="Dr. Priya"/>
    <d v="2025-11-24T00:00:00"/>
    <d v="2025-11-29T00:00:00"/>
    <n v="37684"/>
    <s v="Corporate"/>
    <s v="Insurance Claim"/>
    <x v="1"/>
    <s v="Follow-up"/>
    <n v="3"/>
    <m/>
    <m/>
    <m/>
    <m/>
    <m/>
    <m/>
    <m/>
    <m/>
    <m/>
    <n v="11"/>
    <m/>
    <m/>
    <m/>
    <x v="6"/>
  </r>
  <r>
    <s v="P0838"/>
    <n v="54"/>
    <s v="Male"/>
    <s v="Cardiac"/>
    <s v="Cardiology"/>
    <s v="Dr. Kumar"/>
    <d v="2025-11-18T00:00:00"/>
    <d v="2025-12-03T00:00:00"/>
    <n v="51795"/>
    <s v="Corporate"/>
    <s v="Insurance Claim"/>
    <x v="2"/>
    <s v="Recovered"/>
    <n v="1"/>
    <m/>
    <m/>
    <m/>
    <m/>
    <m/>
    <m/>
    <m/>
    <m/>
    <m/>
    <n v="11"/>
    <m/>
    <m/>
    <m/>
    <x v="6"/>
  </r>
  <r>
    <s v="P0839"/>
    <n v="78"/>
    <s v="Female"/>
    <s v="Diabetes"/>
    <s v="Orthopedics"/>
    <s v="Dr. Meena"/>
    <d v="2025-03-13T00:00:00"/>
    <d v="2025-03-20T00:00:00"/>
    <n v="190005"/>
    <s v="None"/>
    <s v="Cash"/>
    <x v="1"/>
    <s v="Recovered"/>
    <n v="3"/>
    <m/>
    <m/>
    <m/>
    <m/>
    <m/>
    <m/>
    <m/>
    <m/>
    <m/>
    <n v="3"/>
    <m/>
    <m/>
    <m/>
    <x v="9"/>
  </r>
  <r>
    <s v="P0840"/>
    <n v="84"/>
    <s v="Female"/>
    <s v="Neurological"/>
    <s v="General Medicine"/>
    <s v="Dr. Arun"/>
    <d v="2025-04-23T00:00:00"/>
    <d v="2025-04-24T00:00:00"/>
    <n v="185148"/>
    <s v="Corporate"/>
    <s v="UPI"/>
    <x v="2"/>
    <s v="Recovered"/>
    <n v="3"/>
    <m/>
    <m/>
    <m/>
    <m/>
    <m/>
    <m/>
    <m/>
    <m/>
    <m/>
    <n v="4"/>
    <m/>
    <m/>
    <m/>
    <x v="0"/>
  </r>
  <r>
    <s v="P0841"/>
    <n v="51"/>
    <s v="Male"/>
    <s v="Cardiac"/>
    <s v="Oncology"/>
    <s v="Dr. Meena"/>
    <d v="2024-10-28T00:00:00"/>
    <d v="2024-10-31T00:00:00"/>
    <n v="213659"/>
    <s v="None"/>
    <s v="Insurance Claim"/>
    <x v="2"/>
    <s v="Under Treatment"/>
    <n v="5"/>
    <m/>
    <m/>
    <m/>
    <m/>
    <m/>
    <m/>
    <m/>
    <m/>
    <m/>
    <n v="10"/>
    <m/>
    <m/>
    <m/>
    <x v="8"/>
  </r>
  <r>
    <s v="P0842"/>
    <n v="74"/>
    <s v="Male"/>
    <s v="Respiratory"/>
    <s v="Neurology"/>
    <s v="Dr. Raj"/>
    <d v="2025-08-10T00:00:00"/>
    <d v="2025-08-19T00:00:00"/>
    <n v="42895"/>
    <s v="None"/>
    <s v="Insurance Claim"/>
    <x v="2"/>
    <s v="Follow-up"/>
    <n v="5"/>
    <m/>
    <m/>
    <m/>
    <m/>
    <m/>
    <m/>
    <m/>
    <m/>
    <m/>
    <n v="8"/>
    <m/>
    <m/>
    <m/>
    <x v="10"/>
  </r>
  <r>
    <s v="P0843"/>
    <n v="59"/>
    <s v="Male"/>
    <s v="Cancer"/>
    <s v="Neurology"/>
    <s v="Dr. Meena"/>
    <d v="2025-10-18T00:00:00"/>
    <d v="2025-10-26T00:00:00"/>
    <n v="201112"/>
    <s v="Government"/>
    <s v="Card"/>
    <x v="1"/>
    <s v="Recovered"/>
    <n v="3"/>
    <m/>
    <m/>
    <m/>
    <m/>
    <m/>
    <m/>
    <m/>
    <m/>
    <m/>
    <n v="10"/>
    <m/>
    <m/>
    <m/>
    <x v="8"/>
  </r>
  <r>
    <s v="P0844"/>
    <n v="44"/>
    <s v="Female"/>
    <s v="Neurological"/>
    <s v="Oncology"/>
    <s v="Dr. Meena"/>
    <d v="2025-11-02T00:00:00"/>
    <d v="2025-11-10T00:00:00"/>
    <n v="211728"/>
    <s v="Government"/>
    <s v="Insurance Claim"/>
    <x v="4"/>
    <s v="Recovered"/>
    <n v="4"/>
    <m/>
    <m/>
    <m/>
    <m/>
    <m/>
    <m/>
    <m/>
    <m/>
    <m/>
    <n v="11"/>
    <m/>
    <m/>
    <m/>
    <x v="6"/>
  </r>
  <r>
    <s v="P0845"/>
    <n v="85"/>
    <s v="Female"/>
    <s v="Cardiac"/>
    <s v="Neurology"/>
    <s v="Dr. Arun"/>
    <d v="2025-12-11T00:00:00"/>
    <d v="2025-12-14T00:00:00"/>
    <n v="41020"/>
    <s v="Private"/>
    <s v="UPI"/>
    <x v="4"/>
    <s v="Recovered"/>
    <n v="2"/>
    <m/>
    <m/>
    <m/>
    <m/>
    <m/>
    <m/>
    <m/>
    <m/>
    <m/>
    <n v="12"/>
    <m/>
    <m/>
    <m/>
    <x v="2"/>
  </r>
  <r>
    <s v="P0846"/>
    <n v="36"/>
    <s v="Male"/>
    <s v="Orthopedic"/>
    <s v="Cardiology"/>
    <s v="Dr. Meena"/>
    <d v="2025-02-19T00:00:00"/>
    <d v="2025-03-03T00:00:00"/>
    <n v="199051"/>
    <s v="None"/>
    <s v="Insurance Claim"/>
    <x v="0"/>
    <s v="Under Treatment"/>
    <n v="4"/>
    <m/>
    <m/>
    <m/>
    <m/>
    <m/>
    <m/>
    <m/>
    <m/>
    <m/>
    <n v="2"/>
    <m/>
    <m/>
    <m/>
    <x v="3"/>
  </r>
  <r>
    <s v="P0847"/>
    <n v="22"/>
    <s v="Female"/>
    <s v="Neurological"/>
    <s v="Neurology"/>
    <s v="Dr. Priya"/>
    <d v="2024-04-22T00:00:00"/>
    <d v="2024-04-28T00:00:00"/>
    <n v="192282"/>
    <s v="Government"/>
    <s v="Insurance Claim"/>
    <x v="4"/>
    <s v="Under Treatment"/>
    <n v="5"/>
    <m/>
    <m/>
    <m/>
    <m/>
    <m/>
    <m/>
    <m/>
    <m/>
    <m/>
    <n v="4"/>
    <m/>
    <m/>
    <m/>
    <x v="0"/>
  </r>
  <r>
    <s v="P0848"/>
    <n v="19"/>
    <s v="Female"/>
    <s v="Diabetes"/>
    <s v="General Medicine"/>
    <s v="Dr. Meena"/>
    <d v="2025-05-30T00:00:00"/>
    <d v="2025-06-19T00:00:00"/>
    <n v="219494"/>
    <s v="Private"/>
    <s v="Insurance Claim"/>
    <x v="0"/>
    <s v="Recovered"/>
    <n v="3"/>
    <m/>
    <m/>
    <m/>
    <m/>
    <m/>
    <m/>
    <m/>
    <m/>
    <m/>
    <n v="5"/>
    <m/>
    <m/>
    <m/>
    <x v="5"/>
  </r>
  <r>
    <s v="P0849"/>
    <n v="46"/>
    <s v="Female"/>
    <s v="Respiratory"/>
    <s v="General Medicine"/>
    <s v="Dr. Arun"/>
    <d v="2024-02-11T00:00:00"/>
    <d v="2024-02-13T00:00:00"/>
    <n v="174726"/>
    <s v="Government"/>
    <s v="Card"/>
    <x v="0"/>
    <s v="Recovered"/>
    <n v="4"/>
    <m/>
    <m/>
    <m/>
    <m/>
    <m/>
    <m/>
    <m/>
    <m/>
    <m/>
    <n v="2"/>
    <m/>
    <m/>
    <m/>
    <x v="3"/>
  </r>
  <r>
    <s v="P0850"/>
    <n v="47"/>
    <s v="Female"/>
    <s v="Neurological"/>
    <s v="Pulmonology"/>
    <s v="Dr. Arun"/>
    <d v="2025-03-29T00:00:00"/>
    <d v="2025-04-01T00:00:00"/>
    <n v="180698"/>
    <s v="Government"/>
    <s v="Card"/>
    <x v="1"/>
    <s v="Under Treatment"/>
    <n v="5"/>
    <m/>
    <m/>
    <m/>
    <m/>
    <m/>
    <m/>
    <m/>
    <m/>
    <m/>
    <n v="3"/>
    <m/>
    <m/>
    <m/>
    <x v="9"/>
  </r>
  <r>
    <s v="P0851"/>
    <n v="49"/>
    <s v="Female"/>
    <s v="Cancer"/>
    <s v="Orthopedics"/>
    <s v="Dr. Raj"/>
    <d v="2025-08-11T00:00:00"/>
    <d v="2025-08-17T00:00:00"/>
    <n v="8182"/>
    <s v="Private"/>
    <s v="Card"/>
    <x v="2"/>
    <s v="Recovered"/>
    <n v="4"/>
    <m/>
    <m/>
    <m/>
    <m/>
    <m/>
    <m/>
    <m/>
    <m/>
    <m/>
    <n v="8"/>
    <m/>
    <m/>
    <m/>
    <x v="10"/>
  </r>
  <r>
    <s v="P0852"/>
    <n v="57"/>
    <s v="Female"/>
    <s v="Neurological"/>
    <s v="Pulmonology"/>
    <s v="Dr. Kumar"/>
    <d v="2024-02-28T00:00:00"/>
    <d v="2024-03-18T00:00:00"/>
    <n v="190512"/>
    <s v="None"/>
    <s v="Cash"/>
    <x v="1"/>
    <s v="Recovered"/>
    <n v="1"/>
    <m/>
    <m/>
    <m/>
    <m/>
    <m/>
    <m/>
    <m/>
    <m/>
    <m/>
    <n v="2"/>
    <m/>
    <m/>
    <m/>
    <x v="3"/>
  </r>
  <r>
    <s v="P0853"/>
    <n v="21"/>
    <s v="Male"/>
    <s v="Infection"/>
    <s v="Cardiology"/>
    <s v="Dr. Priya"/>
    <d v="2025-02-09T00:00:00"/>
    <d v="2025-02-10T00:00:00"/>
    <n v="234637"/>
    <s v="None"/>
    <s v="UPI"/>
    <x v="4"/>
    <s v="Under Treatment"/>
    <n v="5"/>
    <m/>
    <m/>
    <m/>
    <m/>
    <m/>
    <m/>
    <m/>
    <m/>
    <m/>
    <n v="2"/>
    <m/>
    <m/>
    <m/>
    <x v="3"/>
  </r>
  <r>
    <s v="P0854"/>
    <n v="22"/>
    <s v="Female"/>
    <s v="Orthopedic"/>
    <s v="Pulmonology"/>
    <s v="Dr. Kumar"/>
    <d v="2025-07-22T00:00:00"/>
    <d v="2025-07-30T00:00:00"/>
    <n v="124402"/>
    <s v="Private"/>
    <s v="Card"/>
    <x v="2"/>
    <s v="Under Treatment"/>
    <n v="3"/>
    <m/>
    <m/>
    <m/>
    <m/>
    <m/>
    <m/>
    <m/>
    <m/>
    <m/>
    <n v="7"/>
    <m/>
    <m/>
    <m/>
    <x v="7"/>
  </r>
  <r>
    <s v="P0855"/>
    <n v="19"/>
    <s v="Male"/>
    <s v="Cardiac"/>
    <s v="General Medicine"/>
    <s v="Dr. Meena"/>
    <d v="2025-08-15T00:00:00"/>
    <d v="2025-08-20T00:00:00"/>
    <n v="123495"/>
    <s v="Private"/>
    <s v="Card"/>
    <x v="1"/>
    <s v="Under Treatment"/>
    <n v="5"/>
    <m/>
    <m/>
    <m/>
    <m/>
    <m/>
    <m/>
    <m/>
    <m/>
    <m/>
    <n v="8"/>
    <m/>
    <m/>
    <m/>
    <x v="10"/>
  </r>
  <r>
    <s v="P0856"/>
    <n v="64"/>
    <s v="Female"/>
    <s v="Orthopedic"/>
    <s v="Oncology"/>
    <s v="Dr. Priya"/>
    <d v="2025-09-22T00:00:00"/>
    <d v="2025-10-02T00:00:00"/>
    <n v="79830"/>
    <s v="Private"/>
    <s v="UPI"/>
    <x v="2"/>
    <s v="Follow-up"/>
    <n v="4"/>
    <m/>
    <m/>
    <m/>
    <m/>
    <m/>
    <m/>
    <m/>
    <m/>
    <m/>
    <n v="9"/>
    <m/>
    <m/>
    <m/>
    <x v="1"/>
  </r>
  <r>
    <s v="P0857"/>
    <n v="21"/>
    <s v="Male"/>
    <s v="Infection"/>
    <s v="Orthopedics"/>
    <s v="Dr. Raj"/>
    <d v="2025-05-15T00:00:00"/>
    <d v="2025-06-03T00:00:00"/>
    <n v="172531"/>
    <s v="Corporate"/>
    <s v="Card"/>
    <x v="1"/>
    <s v="Recovered"/>
    <n v="4"/>
    <m/>
    <m/>
    <m/>
    <m/>
    <m/>
    <m/>
    <m/>
    <m/>
    <m/>
    <n v="5"/>
    <m/>
    <m/>
    <m/>
    <x v="5"/>
  </r>
  <r>
    <s v="P0858"/>
    <n v="78"/>
    <s v="Male"/>
    <s v="Cancer"/>
    <s v="Neurology"/>
    <s v="Dr. Kumar"/>
    <d v="2025-06-27T00:00:00"/>
    <d v="2025-07-05T00:00:00"/>
    <n v="82887"/>
    <s v="Private"/>
    <s v="UPI"/>
    <x v="0"/>
    <s v="Follow-up"/>
    <n v="2"/>
    <m/>
    <m/>
    <m/>
    <m/>
    <m/>
    <m/>
    <m/>
    <m/>
    <m/>
    <n v="6"/>
    <m/>
    <m/>
    <m/>
    <x v="11"/>
  </r>
  <r>
    <s v="P0859"/>
    <n v="42"/>
    <s v="Male"/>
    <s v="Orthopedic"/>
    <s v="General Medicine"/>
    <s v="Dr. Priya"/>
    <d v="2025-09-13T00:00:00"/>
    <d v="2025-09-14T00:00:00"/>
    <n v="33821"/>
    <s v="Corporate"/>
    <s v="Card"/>
    <x v="1"/>
    <s v="Under Treatment"/>
    <n v="2"/>
    <m/>
    <m/>
    <m/>
    <m/>
    <m/>
    <m/>
    <m/>
    <m/>
    <m/>
    <n v="9"/>
    <m/>
    <m/>
    <m/>
    <x v="1"/>
  </r>
  <r>
    <s v="P0860"/>
    <n v="27"/>
    <s v="Female"/>
    <s v="Orthopedic"/>
    <s v="Orthopedics"/>
    <s v="Dr. Raj"/>
    <d v="2024-02-20T00:00:00"/>
    <d v="2024-02-22T00:00:00"/>
    <n v="156009"/>
    <s v="Government"/>
    <s v="UPI"/>
    <x v="2"/>
    <s v="Follow-up"/>
    <n v="3"/>
    <m/>
    <m/>
    <m/>
    <m/>
    <m/>
    <m/>
    <m/>
    <m/>
    <m/>
    <n v="2"/>
    <m/>
    <m/>
    <m/>
    <x v="3"/>
  </r>
  <r>
    <s v="P0861"/>
    <n v="52"/>
    <s v="Male"/>
    <s v="Neurological"/>
    <s v="Pulmonology"/>
    <s v="Dr. Arun"/>
    <d v="2024-10-16T00:00:00"/>
    <d v="2024-10-24T00:00:00"/>
    <n v="160549"/>
    <s v="None"/>
    <s v="Cash"/>
    <x v="3"/>
    <s v="Under Treatment"/>
    <n v="5"/>
    <m/>
    <m/>
    <m/>
    <m/>
    <m/>
    <m/>
    <m/>
    <m/>
    <m/>
    <n v="10"/>
    <m/>
    <m/>
    <m/>
    <x v="8"/>
  </r>
  <r>
    <s v="P0862"/>
    <n v="68"/>
    <s v="Male"/>
    <s v="Orthopedic"/>
    <s v="General Medicine"/>
    <s v="Dr. Kumar"/>
    <d v="2024-10-13T00:00:00"/>
    <d v="2024-10-25T00:00:00"/>
    <n v="238333"/>
    <s v="None"/>
    <s v="Card"/>
    <x v="0"/>
    <s v="Recovered"/>
    <n v="3"/>
    <m/>
    <m/>
    <m/>
    <m/>
    <m/>
    <m/>
    <m/>
    <m/>
    <m/>
    <n v="10"/>
    <m/>
    <m/>
    <m/>
    <x v="8"/>
  </r>
  <r>
    <s v="P0863"/>
    <n v="26"/>
    <s v="Female"/>
    <s v="Orthopedic"/>
    <s v="Pulmonology"/>
    <s v="Dr. Raj"/>
    <d v="2024-07-26T00:00:00"/>
    <d v="2024-08-02T00:00:00"/>
    <n v="106863"/>
    <s v="Corporate"/>
    <s v="Insurance Claim"/>
    <x v="4"/>
    <s v="Follow-up"/>
    <n v="2"/>
    <m/>
    <m/>
    <m/>
    <m/>
    <m/>
    <m/>
    <m/>
    <m/>
    <m/>
    <n v="7"/>
    <m/>
    <m/>
    <m/>
    <x v="7"/>
  </r>
  <r>
    <s v="P0864"/>
    <n v="67"/>
    <s v="Male"/>
    <s v="Diabetes"/>
    <s v="Pulmonology"/>
    <s v="Dr. Kumar"/>
    <d v="2025-01-05T00:00:00"/>
    <d v="2025-01-23T00:00:00"/>
    <n v="177833"/>
    <s v="None"/>
    <s v="Card"/>
    <x v="2"/>
    <s v="Under Treatment"/>
    <n v="1"/>
    <m/>
    <m/>
    <m/>
    <m/>
    <m/>
    <m/>
    <m/>
    <m/>
    <m/>
    <n v="1"/>
    <m/>
    <m/>
    <m/>
    <x v="4"/>
  </r>
  <r>
    <s v="P0865"/>
    <n v="41"/>
    <s v="Female"/>
    <s v="Cardiac"/>
    <s v="Pulmonology"/>
    <s v="Dr. Meena"/>
    <d v="2025-03-23T00:00:00"/>
    <d v="2025-03-25T00:00:00"/>
    <n v="171488"/>
    <s v="Government"/>
    <s v="Cash"/>
    <x v="4"/>
    <s v="Recovered"/>
    <n v="2"/>
    <m/>
    <m/>
    <m/>
    <m/>
    <m/>
    <m/>
    <m/>
    <m/>
    <m/>
    <n v="3"/>
    <m/>
    <m/>
    <m/>
    <x v="9"/>
  </r>
  <r>
    <s v="P0866"/>
    <n v="29"/>
    <s v="Male"/>
    <s v="Respiratory"/>
    <s v="Orthopedics"/>
    <s v="Dr. Priya"/>
    <d v="2025-03-08T00:00:00"/>
    <d v="2025-03-23T00:00:00"/>
    <n v="175944"/>
    <s v="Corporate"/>
    <s v="Cash"/>
    <x v="1"/>
    <s v="Follow-up"/>
    <n v="3"/>
    <m/>
    <m/>
    <m/>
    <m/>
    <m/>
    <m/>
    <m/>
    <m/>
    <m/>
    <n v="3"/>
    <m/>
    <m/>
    <m/>
    <x v="9"/>
  </r>
  <r>
    <s v="P0867"/>
    <n v="57"/>
    <s v="Female"/>
    <s v="Respiratory"/>
    <s v="General Medicine"/>
    <s v="Dr. Raj"/>
    <d v="2025-02-24T00:00:00"/>
    <d v="2025-03-15T00:00:00"/>
    <n v="194503"/>
    <s v="None"/>
    <s v="Insurance Claim"/>
    <x v="3"/>
    <s v="Follow-up"/>
    <n v="2"/>
    <m/>
    <m/>
    <m/>
    <m/>
    <m/>
    <m/>
    <m/>
    <m/>
    <m/>
    <n v="2"/>
    <m/>
    <m/>
    <m/>
    <x v="3"/>
  </r>
  <r>
    <s v="P0868"/>
    <n v="21"/>
    <s v="Female"/>
    <s v="Respiratory"/>
    <s v="Pulmonology"/>
    <s v="Dr. Meena"/>
    <d v="2024-06-28T00:00:00"/>
    <d v="2024-07-05T00:00:00"/>
    <n v="227134"/>
    <s v="Corporate"/>
    <s v="UPI"/>
    <x v="4"/>
    <s v="Recovered"/>
    <n v="2"/>
    <m/>
    <m/>
    <m/>
    <m/>
    <m/>
    <m/>
    <m/>
    <m/>
    <m/>
    <n v="6"/>
    <m/>
    <m/>
    <m/>
    <x v="11"/>
  </r>
  <r>
    <s v="P0869"/>
    <n v="59"/>
    <s v="Female"/>
    <s v="Orthopedic"/>
    <s v="Pulmonology"/>
    <s v="Dr. Priya"/>
    <d v="2025-03-27T00:00:00"/>
    <d v="2025-04-04T00:00:00"/>
    <n v="243150"/>
    <s v="Government"/>
    <s v="UPI"/>
    <x v="4"/>
    <s v="Under Treatment"/>
    <n v="2"/>
    <m/>
    <m/>
    <m/>
    <m/>
    <m/>
    <m/>
    <m/>
    <m/>
    <m/>
    <n v="3"/>
    <m/>
    <m/>
    <m/>
    <x v="9"/>
  </r>
  <r>
    <s v="P0870"/>
    <n v="74"/>
    <s v="Male"/>
    <s v="Orthopedic"/>
    <s v="Orthopedics"/>
    <s v="Dr. Raj"/>
    <d v="2024-12-04T00:00:00"/>
    <d v="2024-12-19T00:00:00"/>
    <n v="138136"/>
    <s v="Private"/>
    <s v="Insurance Claim"/>
    <x v="2"/>
    <s v="Under Treatment"/>
    <n v="5"/>
    <m/>
    <m/>
    <m/>
    <m/>
    <m/>
    <m/>
    <m/>
    <m/>
    <m/>
    <n v="12"/>
    <m/>
    <m/>
    <m/>
    <x v="2"/>
  </r>
  <r>
    <s v="P0871"/>
    <n v="55"/>
    <s v="Male"/>
    <s v="Cancer"/>
    <s v="Cardiology"/>
    <s v="Dr. Arun"/>
    <d v="2024-02-13T00:00:00"/>
    <d v="2024-03-01T00:00:00"/>
    <n v="18091"/>
    <s v="Government"/>
    <s v="UPI"/>
    <x v="4"/>
    <s v="Recovered"/>
    <n v="1"/>
    <m/>
    <m/>
    <m/>
    <m/>
    <m/>
    <m/>
    <m/>
    <m/>
    <m/>
    <n v="2"/>
    <m/>
    <m/>
    <m/>
    <x v="3"/>
  </r>
  <r>
    <s v="P0872"/>
    <n v="66"/>
    <s v="Female"/>
    <s v="Cancer"/>
    <s v="General Medicine"/>
    <s v="Dr. Raj"/>
    <d v="2024-09-06T00:00:00"/>
    <d v="2024-09-25T00:00:00"/>
    <n v="145740"/>
    <s v="Private"/>
    <s v="UPI"/>
    <x v="3"/>
    <s v="Recovered"/>
    <n v="2"/>
    <m/>
    <m/>
    <m/>
    <m/>
    <m/>
    <m/>
    <m/>
    <m/>
    <m/>
    <n v="9"/>
    <m/>
    <m/>
    <m/>
    <x v="1"/>
  </r>
  <r>
    <s v="P0873"/>
    <n v="48"/>
    <s v="Male"/>
    <s v="Orthopedic"/>
    <s v="General Medicine"/>
    <s v="Dr. Meena"/>
    <d v="2025-04-21T00:00:00"/>
    <d v="2025-05-01T00:00:00"/>
    <n v="30246"/>
    <s v="None"/>
    <s v="Insurance Claim"/>
    <x v="3"/>
    <s v="Follow-up"/>
    <n v="1"/>
    <m/>
    <m/>
    <m/>
    <m/>
    <m/>
    <m/>
    <m/>
    <m/>
    <m/>
    <n v="4"/>
    <m/>
    <m/>
    <m/>
    <x v="0"/>
  </r>
  <r>
    <s v="P0874"/>
    <n v="43"/>
    <s v="Female"/>
    <s v="Cardiac"/>
    <s v="Neurology"/>
    <s v="Dr. Meena"/>
    <d v="2025-09-28T00:00:00"/>
    <d v="2025-10-08T00:00:00"/>
    <n v="118023"/>
    <s v="None"/>
    <s v="Insurance Claim"/>
    <x v="4"/>
    <s v="Under Treatment"/>
    <n v="2"/>
    <m/>
    <m/>
    <m/>
    <m/>
    <m/>
    <m/>
    <m/>
    <m/>
    <m/>
    <n v="9"/>
    <m/>
    <m/>
    <m/>
    <x v="1"/>
  </r>
  <r>
    <s v="P0875"/>
    <n v="47"/>
    <s v="Male"/>
    <s v="Diabetes"/>
    <s v="Pulmonology"/>
    <s v="Dr. Meena"/>
    <d v="2024-09-02T00:00:00"/>
    <d v="2024-09-14T00:00:00"/>
    <n v="132493"/>
    <s v="Private"/>
    <s v="Insurance Claim"/>
    <x v="1"/>
    <s v="Follow-up"/>
    <n v="2"/>
    <m/>
    <m/>
    <m/>
    <m/>
    <m/>
    <m/>
    <m/>
    <m/>
    <m/>
    <n v="9"/>
    <m/>
    <m/>
    <m/>
    <x v="1"/>
  </r>
  <r>
    <s v="P0876"/>
    <n v="34"/>
    <s v="Male"/>
    <s v="Cancer"/>
    <s v="General Medicine"/>
    <s v="Dr. Priya"/>
    <d v="2024-04-19T00:00:00"/>
    <d v="2024-05-03T00:00:00"/>
    <n v="212652"/>
    <s v="Private"/>
    <s v="Insurance Claim"/>
    <x v="1"/>
    <s v="Recovered"/>
    <n v="1"/>
    <m/>
    <m/>
    <m/>
    <m/>
    <m/>
    <m/>
    <m/>
    <m/>
    <m/>
    <n v="4"/>
    <m/>
    <m/>
    <m/>
    <x v="0"/>
  </r>
  <r>
    <s v="P0877"/>
    <n v="22"/>
    <s v="Male"/>
    <s v="Cancer"/>
    <s v="Oncology"/>
    <s v="Dr. Meena"/>
    <d v="2024-08-05T00:00:00"/>
    <d v="2024-08-22T00:00:00"/>
    <n v="231401"/>
    <s v="Government"/>
    <s v="Cash"/>
    <x v="0"/>
    <s v="Under Treatment"/>
    <n v="3"/>
    <m/>
    <m/>
    <m/>
    <m/>
    <m/>
    <m/>
    <m/>
    <m/>
    <m/>
    <n v="8"/>
    <m/>
    <m/>
    <m/>
    <x v="10"/>
  </r>
  <r>
    <s v="P0878"/>
    <n v="65"/>
    <s v="Female"/>
    <s v="Orthopedic"/>
    <s v="General Medicine"/>
    <s v="Dr. Raj"/>
    <d v="2024-09-01T00:00:00"/>
    <d v="2024-09-16T00:00:00"/>
    <n v="125119"/>
    <s v="Private"/>
    <s v="Cash"/>
    <x v="3"/>
    <s v="Recovered"/>
    <n v="1"/>
    <m/>
    <m/>
    <m/>
    <m/>
    <m/>
    <m/>
    <m/>
    <m/>
    <m/>
    <n v="9"/>
    <m/>
    <m/>
    <m/>
    <x v="1"/>
  </r>
  <r>
    <s v="P0879"/>
    <n v="47"/>
    <s v="Female"/>
    <s v="Neurological"/>
    <s v="Orthopedics"/>
    <s v="Dr. Priya"/>
    <d v="2025-11-09T00:00:00"/>
    <d v="2025-11-19T00:00:00"/>
    <n v="9950"/>
    <s v="None"/>
    <s v="Cash"/>
    <x v="1"/>
    <s v="Under Treatment"/>
    <n v="1"/>
    <m/>
    <m/>
    <m/>
    <m/>
    <m/>
    <m/>
    <m/>
    <m/>
    <m/>
    <n v="11"/>
    <m/>
    <m/>
    <m/>
    <x v="6"/>
  </r>
  <r>
    <s v="P0880"/>
    <n v="57"/>
    <s v="Male"/>
    <s v="Cancer"/>
    <s v="Cardiology"/>
    <s v="Dr. Arun"/>
    <d v="2025-07-29T00:00:00"/>
    <d v="2025-08-06T00:00:00"/>
    <n v="110479"/>
    <s v="Private"/>
    <s v="Cash"/>
    <x v="0"/>
    <s v="Follow-up"/>
    <n v="3"/>
    <m/>
    <m/>
    <m/>
    <m/>
    <m/>
    <m/>
    <m/>
    <m/>
    <m/>
    <n v="7"/>
    <m/>
    <m/>
    <m/>
    <x v="7"/>
  </r>
  <r>
    <s v="P0881"/>
    <n v="55"/>
    <s v="Male"/>
    <s v="Cancer"/>
    <s v="Pulmonology"/>
    <s v="Dr. Kumar"/>
    <d v="2025-09-13T00:00:00"/>
    <d v="2025-09-27T00:00:00"/>
    <n v="210143"/>
    <s v="Private"/>
    <s v="Card"/>
    <x v="1"/>
    <s v="Recovered"/>
    <n v="5"/>
    <m/>
    <m/>
    <m/>
    <m/>
    <m/>
    <m/>
    <m/>
    <m/>
    <m/>
    <n v="9"/>
    <m/>
    <m/>
    <m/>
    <x v="1"/>
  </r>
  <r>
    <s v="P0882"/>
    <n v="26"/>
    <s v="Male"/>
    <s v="Orthopedic"/>
    <s v="Orthopedics"/>
    <s v="Dr. Arun"/>
    <d v="2024-04-20T00:00:00"/>
    <d v="2024-04-24T00:00:00"/>
    <n v="131355"/>
    <s v="Government"/>
    <s v="Insurance Claim"/>
    <x v="2"/>
    <s v="Recovered"/>
    <n v="4"/>
    <m/>
    <m/>
    <m/>
    <m/>
    <m/>
    <m/>
    <m/>
    <m/>
    <m/>
    <n v="4"/>
    <m/>
    <m/>
    <m/>
    <x v="0"/>
  </r>
  <r>
    <s v="P0883"/>
    <n v="80"/>
    <s v="Male"/>
    <s v="Infection"/>
    <s v="Pulmonology"/>
    <s v="Dr. Raj"/>
    <d v="2025-01-25T00:00:00"/>
    <d v="2025-01-31T00:00:00"/>
    <n v="23683"/>
    <s v="Private"/>
    <s v="Card"/>
    <x v="3"/>
    <s v="Recovered"/>
    <n v="2"/>
    <m/>
    <m/>
    <m/>
    <m/>
    <m/>
    <m/>
    <m/>
    <m/>
    <m/>
    <n v="1"/>
    <m/>
    <m/>
    <m/>
    <x v="4"/>
  </r>
  <r>
    <s v="P0884"/>
    <n v="25"/>
    <s v="Male"/>
    <s v="Neurological"/>
    <s v="Oncology"/>
    <s v="Dr. Priya"/>
    <d v="2024-07-01T00:00:00"/>
    <d v="2024-07-17T00:00:00"/>
    <n v="70828"/>
    <s v="Corporate"/>
    <s v="Card"/>
    <x v="4"/>
    <s v="Under Treatment"/>
    <n v="3"/>
    <m/>
    <m/>
    <m/>
    <m/>
    <m/>
    <m/>
    <m/>
    <m/>
    <m/>
    <n v="7"/>
    <m/>
    <m/>
    <m/>
    <x v="7"/>
  </r>
  <r>
    <s v="P0885"/>
    <n v="60"/>
    <s v="Female"/>
    <s v="Diabetes"/>
    <s v="Oncology"/>
    <s v="Dr. Arun"/>
    <d v="2025-10-16T00:00:00"/>
    <d v="2025-10-21T00:00:00"/>
    <n v="181026"/>
    <s v="Private"/>
    <s v="Insurance Claim"/>
    <x v="2"/>
    <s v="Follow-up"/>
    <n v="4"/>
    <m/>
    <m/>
    <m/>
    <m/>
    <m/>
    <m/>
    <m/>
    <m/>
    <m/>
    <n v="10"/>
    <m/>
    <m/>
    <m/>
    <x v="8"/>
  </r>
  <r>
    <s v="P0886"/>
    <n v="69"/>
    <s v="Male"/>
    <s v="Cancer"/>
    <s v="Pulmonology"/>
    <s v="Dr. Raj"/>
    <d v="2025-06-30T00:00:00"/>
    <d v="2025-07-19T00:00:00"/>
    <n v="204923"/>
    <s v="Private"/>
    <s v="UPI"/>
    <x v="1"/>
    <s v="Follow-up"/>
    <n v="2"/>
    <m/>
    <m/>
    <m/>
    <m/>
    <m/>
    <m/>
    <m/>
    <m/>
    <m/>
    <n v="6"/>
    <m/>
    <m/>
    <m/>
    <x v="11"/>
  </r>
  <r>
    <s v="P0887"/>
    <n v="43"/>
    <s v="Female"/>
    <s v="Cancer"/>
    <s v="Neurology"/>
    <s v="Dr. Meena"/>
    <d v="2025-12-11T00:00:00"/>
    <d v="2025-12-14T00:00:00"/>
    <n v="155261"/>
    <s v="Corporate"/>
    <s v="Insurance Claim"/>
    <x v="1"/>
    <s v="Under Treatment"/>
    <n v="3"/>
    <m/>
    <m/>
    <m/>
    <m/>
    <m/>
    <m/>
    <m/>
    <m/>
    <m/>
    <n v="12"/>
    <m/>
    <m/>
    <m/>
    <x v="2"/>
  </r>
  <r>
    <s v="P0888"/>
    <n v="35"/>
    <s v="Male"/>
    <s v="Respiratory"/>
    <s v="Cardiology"/>
    <s v="Dr. Raj"/>
    <d v="2024-06-22T00:00:00"/>
    <d v="2024-07-04T00:00:00"/>
    <n v="101006"/>
    <s v="Corporate"/>
    <s v="Insurance Claim"/>
    <x v="2"/>
    <s v="Follow-up"/>
    <n v="4"/>
    <m/>
    <m/>
    <m/>
    <m/>
    <m/>
    <m/>
    <m/>
    <m/>
    <m/>
    <n v="6"/>
    <m/>
    <m/>
    <m/>
    <x v="11"/>
  </r>
  <r>
    <s v="P0889"/>
    <n v="41"/>
    <s v="Male"/>
    <s v="Respiratory"/>
    <s v="Pulmonology"/>
    <s v="Dr. Kumar"/>
    <d v="2025-07-20T00:00:00"/>
    <d v="2025-07-21T00:00:00"/>
    <n v="113454"/>
    <s v="Corporate"/>
    <s v="Card"/>
    <x v="2"/>
    <s v="Recovered"/>
    <n v="1"/>
    <m/>
    <m/>
    <m/>
    <m/>
    <m/>
    <m/>
    <m/>
    <m/>
    <m/>
    <n v="7"/>
    <m/>
    <m/>
    <m/>
    <x v="7"/>
  </r>
  <r>
    <s v="P0890"/>
    <n v="60"/>
    <s v="Female"/>
    <s v="Infection"/>
    <s v="Oncology"/>
    <s v="Dr. Meena"/>
    <d v="2024-01-26T00:00:00"/>
    <d v="2024-02-07T00:00:00"/>
    <n v="29926"/>
    <s v="Corporate"/>
    <s v="Insurance Claim"/>
    <x v="4"/>
    <s v="Follow-up"/>
    <n v="3"/>
    <m/>
    <m/>
    <m/>
    <m/>
    <m/>
    <m/>
    <m/>
    <m/>
    <m/>
    <n v="1"/>
    <m/>
    <m/>
    <m/>
    <x v="4"/>
  </r>
  <r>
    <s v="P0891"/>
    <n v="33"/>
    <s v="Female"/>
    <s v="Cardiac"/>
    <s v="Cardiology"/>
    <s v="Dr. Meena"/>
    <d v="2025-01-23T00:00:00"/>
    <d v="2025-01-31T00:00:00"/>
    <n v="192917"/>
    <s v="Private"/>
    <s v="Card"/>
    <x v="2"/>
    <s v="Recovered"/>
    <n v="1"/>
    <m/>
    <m/>
    <m/>
    <m/>
    <m/>
    <m/>
    <m/>
    <m/>
    <m/>
    <n v="1"/>
    <m/>
    <m/>
    <m/>
    <x v="4"/>
  </r>
  <r>
    <s v="P0892"/>
    <n v="29"/>
    <s v="Male"/>
    <s v="Neurological"/>
    <s v="Pulmonology"/>
    <s v="Dr. Kumar"/>
    <d v="2024-05-06T00:00:00"/>
    <d v="2024-05-12T00:00:00"/>
    <n v="233365"/>
    <s v="None"/>
    <s v="Cash"/>
    <x v="4"/>
    <s v="Recovered"/>
    <n v="5"/>
    <m/>
    <m/>
    <m/>
    <m/>
    <m/>
    <m/>
    <m/>
    <m/>
    <m/>
    <n v="5"/>
    <m/>
    <m/>
    <m/>
    <x v="5"/>
  </r>
  <r>
    <s v="P0893"/>
    <n v="85"/>
    <s v="Female"/>
    <s v="Orthopedic"/>
    <s v="Oncology"/>
    <s v="Dr. Priya"/>
    <d v="2025-07-12T00:00:00"/>
    <d v="2025-07-29T00:00:00"/>
    <n v="108072"/>
    <s v="Government"/>
    <s v="UPI"/>
    <x v="0"/>
    <s v="Recovered"/>
    <n v="3"/>
    <m/>
    <m/>
    <m/>
    <m/>
    <m/>
    <m/>
    <m/>
    <m/>
    <m/>
    <n v="7"/>
    <m/>
    <m/>
    <m/>
    <x v="7"/>
  </r>
  <r>
    <s v="P0894"/>
    <n v="73"/>
    <s v="Female"/>
    <s v="Orthopedic"/>
    <s v="Orthopedics"/>
    <s v="Dr. Priya"/>
    <d v="2025-04-10T00:00:00"/>
    <d v="2025-04-19T00:00:00"/>
    <n v="135010"/>
    <s v="Government"/>
    <s v="UPI"/>
    <x v="3"/>
    <s v="Under Treatment"/>
    <n v="5"/>
    <m/>
    <m/>
    <m/>
    <m/>
    <m/>
    <m/>
    <m/>
    <m/>
    <m/>
    <n v="4"/>
    <m/>
    <m/>
    <m/>
    <x v="0"/>
  </r>
  <r>
    <s v="P0895"/>
    <n v="61"/>
    <s v="Male"/>
    <s v="Neurological"/>
    <s v="General Medicine"/>
    <s v="Dr. Priya"/>
    <d v="2025-01-16T00:00:00"/>
    <d v="2025-01-29T00:00:00"/>
    <n v="153642"/>
    <s v="Corporate"/>
    <s v="Cash"/>
    <x v="2"/>
    <s v="Under Treatment"/>
    <n v="3"/>
    <m/>
    <m/>
    <m/>
    <m/>
    <m/>
    <m/>
    <m/>
    <m/>
    <m/>
    <n v="1"/>
    <m/>
    <m/>
    <m/>
    <x v="4"/>
  </r>
  <r>
    <s v="P0896"/>
    <n v="28"/>
    <s v="Male"/>
    <s v="Respiratory"/>
    <s v="Oncology"/>
    <s v="Dr. Priya"/>
    <d v="2025-03-17T00:00:00"/>
    <d v="2025-03-26T00:00:00"/>
    <n v="56957"/>
    <s v="None"/>
    <s v="Card"/>
    <x v="2"/>
    <s v="Follow-up"/>
    <n v="5"/>
    <m/>
    <m/>
    <m/>
    <m/>
    <m/>
    <m/>
    <m/>
    <m/>
    <m/>
    <n v="3"/>
    <m/>
    <m/>
    <m/>
    <x v="9"/>
  </r>
  <r>
    <s v="P0897"/>
    <n v="20"/>
    <s v="Male"/>
    <s v="Infection"/>
    <s v="Orthopedics"/>
    <s v="Dr. Priya"/>
    <d v="2025-05-12T00:00:00"/>
    <d v="2025-05-16T00:00:00"/>
    <n v="15721"/>
    <s v="Corporate"/>
    <s v="Cash"/>
    <x v="1"/>
    <s v="Follow-up"/>
    <n v="2"/>
    <m/>
    <m/>
    <m/>
    <m/>
    <m/>
    <m/>
    <m/>
    <m/>
    <m/>
    <n v="5"/>
    <m/>
    <m/>
    <m/>
    <x v="5"/>
  </r>
  <r>
    <s v="P0898"/>
    <n v="27"/>
    <s v="Female"/>
    <s v="Diabetes"/>
    <s v="Orthopedics"/>
    <s v="Dr. Arun"/>
    <d v="2025-05-04T00:00:00"/>
    <d v="2025-05-05T00:00:00"/>
    <n v="143864"/>
    <s v="Corporate"/>
    <s v="Cash"/>
    <x v="4"/>
    <s v="Follow-up"/>
    <n v="5"/>
    <m/>
    <m/>
    <m/>
    <m/>
    <m/>
    <m/>
    <m/>
    <m/>
    <m/>
    <n v="5"/>
    <m/>
    <m/>
    <m/>
    <x v="5"/>
  </r>
  <r>
    <s v="P0899"/>
    <n v="35"/>
    <s v="Male"/>
    <s v="Orthopedic"/>
    <s v="Neurology"/>
    <s v="Dr. Kumar"/>
    <d v="2025-05-11T00:00:00"/>
    <d v="2025-05-27T00:00:00"/>
    <n v="200440"/>
    <s v="None"/>
    <s v="Card"/>
    <x v="2"/>
    <s v="Under Treatment"/>
    <n v="1"/>
    <m/>
    <m/>
    <m/>
    <m/>
    <m/>
    <m/>
    <m/>
    <m/>
    <m/>
    <n v="5"/>
    <m/>
    <m/>
    <m/>
    <x v="5"/>
  </r>
  <r>
    <s v="P0900"/>
    <n v="39"/>
    <s v="Male"/>
    <s v="Infection"/>
    <s v="Cardiology"/>
    <s v="Dr. Arun"/>
    <d v="2024-02-07T00:00:00"/>
    <d v="2024-02-24T00:00:00"/>
    <n v="249585"/>
    <s v="Corporate"/>
    <s v="UPI"/>
    <x v="4"/>
    <s v="Follow-up"/>
    <n v="2"/>
    <m/>
    <m/>
    <m/>
    <m/>
    <m/>
    <m/>
    <m/>
    <m/>
    <m/>
    <n v="2"/>
    <m/>
    <m/>
    <m/>
    <x v="3"/>
  </r>
  <r>
    <s v="P0901"/>
    <n v="62"/>
    <s v="Female"/>
    <s v="Infection"/>
    <s v="Neurology"/>
    <s v="Dr. Arun"/>
    <d v="2024-04-30T00:00:00"/>
    <d v="2024-05-07T00:00:00"/>
    <n v="21257"/>
    <s v="None"/>
    <s v="Card"/>
    <x v="3"/>
    <s v="Follow-up"/>
    <n v="1"/>
    <m/>
    <m/>
    <m/>
    <m/>
    <m/>
    <m/>
    <m/>
    <m/>
    <m/>
    <n v="4"/>
    <m/>
    <m/>
    <m/>
    <x v="0"/>
  </r>
  <r>
    <s v="P0902"/>
    <n v="84"/>
    <s v="Male"/>
    <s v="Infection"/>
    <s v="General Medicine"/>
    <s v="Dr. Raj"/>
    <d v="2025-03-07T00:00:00"/>
    <d v="2025-03-19T00:00:00"/>
    <n v="113228"/>
    <s v="None"/>
    <s v="Card"/>
    <x v="2"/>
    <s v="Under Treatment"/>
    <n v="3"/>
    <m/>
    <m/>
    <m/>
    <m/>
    <m/>
    <m/>
    <m/>
    <m/>
    <m/>
    <n v="3"/>
    <m/>
    <m/>
    <m/>
    <x v="9"/>
  </r>
  <r>
    <s v="P0903"/>
    <n v="38"/>
    <s v="Male"/>
    <s v="Cancer"/>
    <s v="Orthopedics"/>
    <s v="Dr. Priya"/>
    <d v="2024-11-27T00:00:00"/>
    <d v="2024-12-17T00:00:00"/>
    <n v="33579"/>
    <s v="None"/>
    <s v="Card"/>
    <x v="4"/>
    <s v="Under Treatment"/>
    <n v="4"/>
    <m/>
    <m/>
    <m/>
    <m/>
    <m/>
    <m/>
    <m/>
    <m/>
    <m/>
    <n v="11"/>
    <m/>
    <m/>
    <m/>
    <x v="6"/>
  </r>
  <r>
    <s v="P0904"/>
    <n v="25"/>
    <s v="Female"/>
    <s v="Neurological"/>
    <s v="Orthopedics"/>
    <s v="Dr. Arun"/>
    <d v="2024-05-15T00:00:00"/>
    <d v="2024-05-28T00:00:00"/>
    <n v="23032"/>
    <s v="Private"/>
    <s v="Cash"/>
    <x v="1"/>
    <s v="Follow-up"/>
    <n v="1"/>
    <m/>
    <m/>
    <m/>
    <m/>
    <m/>
    <m/>
    <m/>
    <m/>
    <m/>
    <n v="5"/>
    <m/>
    <m/>
    <m/>
    <x v="5"/>
  </r>
  <r>
    <s v="P0905"/>
    <n v="77"/>
    <s v="Male"/>
    <s v="Neurological"/>
    <s v="General Medicine"/>
    <s v="Dr. Meena"/>
    <d v="2024-12-01T00:00:00"/>
    <d v="2024-12-20T00:00:00"/>
    <n v="49819"/>
    <s v="None"/>
    <s v="Insurance Claim"/>
    <x v="3"/>
    <s v="Under Treatment"/>
    <n v="2"/>
    <m/>
    <m/>
    <m/>
    <m/>
    <m/>
    <m/>
    <m/>
    <m/>
    <m/>
    <n v="12"/>
    <m/>
    <m/>
    <m/>
    <x v="2"/>
  </r>
  <r>
    <s v="P0906"/>
    <n v="58"/>
    <s v="Female"/>
    <s v="Cardiac"/>
    <s v="Pulmonology"/>
    <s v="Dr. Arun"/>
    <d v="2025-07-25T00:00:00"/>
    <d v="2025-07-31T00:00:00"/>
    <n v="67440"/>
    <s v="Government"/>
    <s v="Cash"/>
    <x v="4"/>
    <s v="Recovered"/>
    <n v="1"/>
    <m/>
    <m/>
    <m/>
    <m/>
    <m/>
    <m/>
    <m/>
    <m/>
    <m/>
    <n v="7"/>
    <m/>
    <m/>
    <m/>
    <x v="7"/>
  </r>
  <r>
    <s v="P0907"/>
    <n v="21"/>
    <s v="Female"/>
    <s v="Respiratory"/>
    <s v="Neurology"/>
    <s v="Dr. Raj"/>
    <d v="2025-04-18T00:00:00"/>
    <d v="2025-05-01T00:00:00"/>
    <n v="191932"/>
    <s v="None"/>
    <s v="Cash"/>
    <x v="3"/>
    <s v="Follow-up"/>
    <n v="1"/>
    <m/>
    <m/>
    <m/>
    <m/>
    <m/>
    <m/>
    <m/>
    <m/>
    <m/>
    <n v="4"/>
    <m/>
    <m/>
    <m/>
    <x v="0"/>
  </r>
  <r>
    <s v="P0908"/>
    <n v="45"/>
    <s v="Male"/>
    <s v="Cardiac"/>
    <s v="General Medicine"/>
    <s v="Dr. Raj"/>
    <d v="2025-06-01T00:00:00"/>
    <d v="2025-06-04T00:00:00"/>
    <n v="47852"/>
    <s v="None"/>
    <s v="Card"/>
    <x v="1"/>
    <s v="Follow-up"/>
    <n v="3"/>
    <m/>
    <m/>
    <m/>
    <m/>
    <m/>
    <m/>
    <m/>
    <m/>
    <m/>
    <n v="6"/>
    <m/>
    <m/>
    <m/>
    <x v="11"/>
  </r>
  <r>
    <s v="P0909"/>
    <n v="57"/>
    <s v="Female"/>
    <s v="Respiratory"/>
    <s v="Cardiology"/>
    <s v="Dr. Priya"/>
    <d v="2025-02-26T00:00:00"/>
    <d v="2025-03-13T00:00:00"/>
    <n v="11754"/>
    <s v="Private"/>
    <s v="Card"/>
    <x v="1"/>
    <s v="Follow-up"/>
    <n v="1"/>
    <m/>
    <m/>
    <m/>
    <m/>
    <m/>
    <m/>
    <m/>
    <m/>
    <m/>
    <n v="2"/>
    <m/>
    <m/>
    <m/>
    <x v="3"/>
  </r>
  <r>
    <s v="P0910"/>
    <n v="55"/>
    <s v="Female"/>
    <s v="Orthopedic"/>
    <s v="General Medicine"/>
    <s v="Dr. Raj"/>
    <d v="2025-05-14T00:00:00"/>
    <d v="2025-06-02T00:00:00"/>
    <n v="120471"/>
    <s v="Government"/>
    <s v="Insurance Claim"/>
    <x v="1"/>
    <s v="Under Treatment"/>
    <n v="4"/>
    <m/>
    <m/>
    <m/>
    <m/>
    <m/>
    <m/>
    <m/>
    <m/>
    <m/>
    <n v="5"/>
    <m/>
    <m/>
    <m/>
    <x v="5"/>
  </r>
  <r>
    <s v="P0911"/>
    <n v="77"/>
    <s v="Male"/>
    <s v="Respiratory"/>
    <s v="Pulmonology"/>
    <s v="Dr. Priya"/>
    <d v="2025-04-30T00:00:00"/>
    <d v="2025-05-01T00:00:00"/>
    <n v="183901"/>
    <s v="Government"/>
    <s v="UPI"/>
    <x v="1"/>
    <s v="Follow-up"/>
    <n v="5"/>
    <m/>
    <m/>
    <m/>
    <m/>
    <m/>
    <m/>
    <m/>
    <m/>
    <m/>
    <n v="4"/>
    <m/>
    <m/>
    <m/>
    <x v="0"/>
  </r>
  <r>
    <s v="P0912"/>
    <n v="41"/>
    <s v="Female"/>
    <s v="Orthopedic"/>
    <s v="Oncology"/>
    <s v="Dr. Raj"/>
    <d v="2025-10-04T00:00:00"/>
    <d v="2025-10-20T00:00:00"/>
    <n v="234604"/>
    <s v="Corporate"/>
    <s v="Card"/>
    <x v="2"/>
    <s v="Recovered"/>
    <n v="3"/>
    <m/>
    <m/>
    <m/>
    <m/>
    <m/>
    <m/>
    <m/>
    <m/>
    <m/>
    <n v="10"/>
    <m/>
    <m/>
    <m/>
    <x v="8"/>
  </r>
  <r>
    <s v="P0913"/>
    <n v="65"/>
    <s v="Female"/>
    <s v="Cardiac"/>
    <s v="Neurology"/>
    <s v="Dr. Kumar"/>
    <d v="2024-12-17T00:00:00"/>
    <d v="2024-12-18T00:00:00"/>
    <n v="70669"/>
    <s v="Corporate"/>
    <s v="Insurance Claim"/>
    <x v="0"/>
    <s v="Follow-up"/>
    <n v="5"/>
    <m/>
    <m/>
    <m/>
    <m/>
    <m/>
    <m/>
    <m/>
    <m/>
    <m/>
    <n v="12"/>
    <m/>
    <m/>
    <m/>
    <x v="2"/>
  </r>
  <r>
    <s v="P0914"/>
    <n v="67"/>
    <s v="Female"/>
    <s v="Cancer"/>
    <s v="Cardiology"/>
    <s v="Dr. Meena"/>
    <d v="2024-09-22T00:00:00"/>
    <d v="2024-10-01T00:00:00"/>
    <n v="228570"/>
    <s v="Government"/>
    <s v="Card"/>
    <x v="2"/>
    <s v="Recovered"/>
    <n v="5"/>
    <m/>
    <m/>
    <m/>
    <m/>
    <m/>
    <m/>
    <m/>
    <m/>
    <m/>
    <n v="9"/>
    <m/>
    <m/>
    <m/>
    <x v="1"/>
  </r>
  <r>
    <s v="P0915"/>
    <n v="44"/>
    <s v="Female"/>
    <s v="Diabetes"/>
    <s v="Pulmonology"/>
    <s v="Dr. Kumar"/>
    <d v="2024-04-13T00:00:00"/>
    <d v="2024-04-14T00:00:00"/>
    <n v="221700"/>
    <s v="Government"/>
    <s v="Insurance Claim"/>
    <x v="1"/>
    <s v="Follow-up"/>
    <n v="3"/>
    <m/>
    <m/>
    <m/>
    <m/>
    <m/>
    <m/>
    <m/>
    <m/>
    <m/>
    <n v="4"/>
    <m/>
    <m/>
    <m/>
    <x v="0"/>
  </r>
  <r>
    <s v="P0916"/>
    <n v="38"/>
    <s v="Male"/>
    <s v="Respiratory"/>
    <s v="Pulmonology"/>
    <s v="Dr. Kumar"/>
    <d v="2025-09-02T00:00:00"/>
    <d v="2025-09-04T00:00:00"/>
    <n v="145616"/>
    <s v="Government"/>
    <s v="Card"/>
    <x v="4"/>
    <s v="Under Treatment"/>
    <n v="4"/>
    <m/>
    <m/>
    <m/>
    <m/>
    <m/>
    <m/>
    <m/>
    <m/>
    <m/>
    <n v="9"/>
    <m/>
    <m/>
    <m/>
    <x v="1"/>
  </r>
  <r>
    <s v="P0917"/>
    <n v="68"/>
    <s v="Male"/>
    <s v="Neurological"/>
    <s v="Orthopedics"/>
    <s v="Dr. Priya"/>
    <d v="2025-04-11T00:00:00"/>
    <d v="2025-04-17T00:00:00"/>
    <n v="246881"/>
    <s v="Corporate"/>
    <s v="Cash"/>
    <x v="3"/>
    <s v="Recovered"/>
    <n v="5"/>
    <m/>
    <m/>
    <m/>
    <m/>
    <m/>
    <m/>
    <m/>
    <m/>
    <m/>
    <n v="4"/>
    <m/>
    <m/>
    <m/>
    <x v="0"/>
  </r>
  <r>
    <s v="P0918"/>
    <n v="84"/>
    <s v="Female"/>
    <s v="Cardiac"/>
    <s v="General Medicine"/>
    <s v="Dr. Priya"/>
    <d v="2025-05-15T00:00:00"/>
    <d v="2025-06-04T00:00:00"/>
    <n v="249075"/>
    <s v="Corporate"/>
    <s v="Insurance Claim"/>
    <x v="3"/>
    <s v="Under Treatment"/>
    <n v="1"/>
    <m/>
    <m/>
    <m/>
    <m/>
    <m/>
    <m/>
    <m/>
    <m/>
    <m/>
    <n v="5"/>
    <m/>
    <m/>
    <m/>
    <x v="5"/>
  </r>
  <r>
    <s v="P0919"/>
    <n v="36"/>
    <s v="Male"/>
    <s v="Cancer"/>
    <s v="Pulmonology"/>
    <s v="Dr. Meena"/>
    <d v="2024-03-25T00:00:00"/>
    <d v="2024-04-11T00:00:00"/>
    <n v="10022"/>
    <s v="None"/>
    <s v="Card"/>
    <x v="4"/>
    <s v="Follow-up"/>
    <n v="2"/>
    <m/>
    <m/>
    <m/>
    <m/>
    <m/>
    <m/>
    <m/>
    <m/>
    <m/>
    <n v="3"/>
    <m/>
    <m/>
    <m/>
    <x v="9"/>
  </r>
  <r>
    <s v="P0920"/>
    <n v="62"/>
    <s v="Male"/>
    <s v="Cancer"/>
    <s v="Orthopedics"/>
    <s v="Dr. Raj"/>
    <d v="2024-02-05T00:00:00"/>
    <d v="2024-02-11T00:00:00"/>
    <n v="11410"/>
    <s v="Private"/>
    <s v="UPI"/>
    <x v="4"/>
    <s v="Recovered"/>
    <n v="1"/>
    <m/>
    <m/>
    <m/>
    <m/>
    <m/>
    <m/>
    <m/>
    <m/>
    <m/>
    <n v="2"/>
    <m/>
    <m/>
    <m/>
    <x v="3"/>
  </r>
  <r>
    <s v="P0921"/>
    <n v="76"/>
    <s v="Female"/>
    <s v="Infection"/>
    <s v="Orthopedics"/>
    <s v="Dr. Kumar"/>
    <d v="2024-03-11T00:00:00"/>
    <d v="2024-03-21T00:00:00"/>
    <n v="18677"/>
    <s v="Private"/>
    <s v="Insurance Claim"/>
    <x v="4"/>
    <s v="Under Treatment"/>
    <n v="2"/>
    <m/>
    <m/>
    <m/>
    <m/>
    <m/>
    <m/>
    <m/>
    <m/>
    <m/>
    <n v="3"/>
    <m/>
    <m/>
    <m/>
    <x v="9"/>
  </r>
  <r>
    <s v="P0922"/>
    <n v="85"/>
    <s v="Female"/>
    <s v="Orthopedic"/>
    <s v="Pulmonology"/>
    <s v="Dr. Raj"/>
    <d v="2024-02-22T00:00:00"/>
    <d v="2024-03-01T00:00:00"/>
    <n v="134686"/>
    <s v="None"/>
    <s v="Insurance Claim"/>
    <x v="0"/>
    <s v="Follow-up"/>
    <n v="3"/>
    <m/>
    <m/>
    <m/>
    <m/>
    <m/>
    <m/>
    <m/>
    <m/>
    <m/>
    <n v="2"/>
    <m/>
    <m/>
    <m/>
    <x v="3"/>
  </r>
  <r>
    <s v="P0923"/>
    <n v="35"/>
    <s v="Male"/>
    <s v="Respiratory"/>
    <s v="Oncology"/>
    <s v="Dr. Kumar"/>
    <d v="2025-01-25T00:00:00"/>
    <d v="2025-02-11T00:00:00"/>
    <n v="165473"/>
    <s v="Corporate"/>
    <s v="Card"/>
    <x v="4"/>
    <s v="Under Treatment"/>
    <n v="2"/>
    <m/>
    <m/>
    <m/>
    <m/>
    <m/>
    <m/>
    <m/>
    <m/>
    <m/>
    <n v="1"/>
    <m/>
    <m/>
    <m/>
    <x v="4"/>
  </r>
  <r>
    <s v="P0924"/>
    <n v="82"/>
    <s v="Female"/>
    <s v="Neurological"/>
    <s v="Neurology"/>
    <s v="Dr. Arun"/>
    <d v="2025-03-24T00:00:00"/>
    <d v="2025-04-03T00:00:00"/>
    <n v="205524"/>
    <s v="Government"/>
    <s v="Insurance Claim"/>
    <x v="0"/>
    <s v="Follow-up"/>
    <n v="3"/>
    <m/>
    <m/>
    <m/>
    <m/>
    <m/>
    <m/>
    <m/>
    <m/>
    <m/>
    <n v="3"/>
    <m/>
    <m/>
    <m/>
    <x v="9"/>
  </r>
  <r>
    <s v="P0925"/>
    <n v="28"/>
    <s v="Male"/>
    <s v="Respiratory"/>
    <s v="Pulmonology"/>
    <s v="Dr. Raj"/>
    <d v="2025-06-03T00:00:00"/>
    <d v="2025-06-20T00:00:00"/>
    <n v="199903"/>
    <s v="Corporate"/>
    <s v="UPI"/>
    <x v="1"/>
    <s v="Recovered"/>
    <n v="2"/>
    <m/>
    <m/>
    <m/>
    <m/>
    <m/>
    <m/>
    <m/>
    <m/>
    <m/>
    <n v="6"/>
    <m/>
    <m/>
    <m/>
    <x v="11"/>
  </r>
  <r>
    <s v="P0926"/>
    <n v="63"/>
    <s v="Male"/>
    <s v="Infection"/>
    <s v="Orthopedics"/>
    <s v="Dr. Priya"/>
    <d v="2025-12-12T00:00:00"/>
    <d v="2025-12-17T00:00:00"/>
    <n v="193045"/>
    <s v="None"/>
    <s v="Cash"/>
    <x v="1"/>
    <s v="Under Treatment"/>
    <n v="2"/>
    <m/>
    <m/>
    <m/>
    <m/>
    <m/>
    <m/>
    <m/>
    <m/>
    <m/>
    <n v="12"/>
    <m/>
    <m/>
    <m/>
    <x v="2"/>
  </r>
  <r>
    <s v="P0927"/>
    <n v="76"/>
    <s v="Female"/>
    <s v="Diabetes"/>
    <s v="Oncology"/>
    <s v="Dr. Meena"/>
    <d v="2024-09-14T00:00:00"/>
    <d v="2024-09-15T00:00:00"/>
    <n v="222310"/>
    <s v="Government"/>
    <s v="Insurance Claim"/>
    <x v="1"/>
    <s v="Recovered"/>
    <n v="3"/>
    <m/>
    <m/>
    <m/>
    <m/>
    <m/>
    <m/>
    <m/>
    <m/>
    <m/>
    <n v="9"/>
    <m/>
    <m/>
    <m/>
    <x v="1"/>
  </r>
  <r>
    <s v="P0928"/>
    <n v="25"/>
    <s v="Female"/>
    <s v="Cardiac"/>
    <s v="Neurology"/>
    <s v="Dr. Arun"/>
    <d v="2025-06-05T00:00:00"/>
    <d v="2025-06-12T00:00:00"/>
    <n v="110949"/>
    <s v="Corporate"/>
    <s v="Card"/>
    <x v="0"/>
    <s v="Under Treatment"/>
    <n v="2"/>
    <m/>
    <m/>
    <m/>
    <m/>
    <m/>
    <m/>
    <m/>
    <m/>
    <m/>
    <n v="6"/>
    <m/>
    <m/>
    <m/>
    <x v="11"/>
  </r>
  <r>
    <s v="P0929"/>
    <n v="51"/>
    <s v="Male"/>
    <s v="Infection"/>
    <s v="General Medicine"/>
    <s v="Dr. Arun"/>
    <d v="2025-12-16T00:00:00"/>
    <d v="2025-12-28T00:00:00"/>
    <n v="137381"/>
    <s v="Corporate"/>
    <s v="UPI"/>
    <x v="3"/>
    <s v="Follow-up"/>
    <n v="1"/>
    <m/>
    <m/>
    <m/>
    <m/>
    <m/>
    <m/>
    <m/>
    <m/>
    <m/>
    <n v="12"/>
    <m/>
    <m/>
    <m/>
    <x v="2"/>
  </r>
  <r>
    <s v="P0930"/>
    <n v="33"/>
    <s v="Female"/>
    <s v="Cancer"/>
    <s v="Oncology"/>
    <s v="Dr. Priya"/>
    <d v="2024-12-16T00:00:00"/>
    <d v="2024-12-21T00:00:00"/>
    <n v="77776"/>
    <s v="Government"/>
    <s v="Insurance Claim"/>
    <x v="4"/>
    <s v="Recovered"/>
    <n v="3"/>
    <m/>
    <m/>
    <m/>
    <m/>
    <m/>
    <m/>
    <m/>
    <m/>
    <m/>
    <n v="12"/>
    <m/>
    <m/>
    <m/>
    <x v="2"/>
  </r>
  <r>
    <s v="P0931"/>
    <n v="70"/>
    <s v="Male"/>
    <s v="Infection"/>
    <s v="Pulmonology"/>
    <s v="Dr. Arun"/>
    <d v="2025-03-06T00:00:00"/>
    <d v="2025-03-23T00:00:00"/>
    <n v="72404"/>
    <s v="None"/>
    <s v="UPI"/>
    <x v="2"/>
    <s v="Recovered"/>
    <n v="4"/>
    <m/>
    <m/>
    <m/>
    <m/>
    <m/>
    <m/>
    <m/>
    <m/>
    <m/>
    <n v="3"/>
    <m/>
    <m/>
    <m/>
    <x v="9"/>
  </r>
  <r>
    <s v="P0932"/>
    <n v="50"/>
    <s v="Male"/>
    <s v="Infection"/>
    <s v="Pulmonology"/>
    <s v="Dr. Kumar"/>
    <d v="2025-08-17T00:00:00"/>
    <d v="2025-09-04T00:00:00"/>
    <n v="111062"/>
    <s v="Corporate"/>
    <s v="Cash"/>
    <x v="4"/>
    <s v="Under Treatment"/>
    <n v="4"/>
    <m/>
    <m/>
    <m/>
    <m/>
    <m/>
    <m/>
    <m/>
    <m/>
    <m/>
    <n v="8"/>
    <m/>
    <m/>
    <m/>
    <x v="10"/>
  </r>
  <r>
    <s v="P0933"/>
    <n v="62"/>
    <s v="Female"/>
    <s v="Diabetes"/>
    <s v="Oncology"/>
    <s v="Dr. Kumar"/>
    <d v="2025-06-12T00:00:00"/>
    <d v="2025-06-29T00:00:00"/>
    <n v="84889"/>
    <s v="None"/>
    <s v="UPI"/>
    <x v="4"/>
    <s v="Recovered"/>
    <n v="4"/>
    <m/>
    <m/>
    <m/>
    <m/>
    <m/>
    <m/>
    <m/>
    <m/>
    <m/>
    <n v="6"/>
    <m/>
    <m/>
    <m/>
    <x v="11"/>
  </r>
  <r>
    <s v="P0934"/>
    <n v="42"/>
    <s v="Male"/>
    <s v="Infection"/>
    <s v="Oncology"/>
    <s v="Dr. Meena"/>
    <d v="2024-02-21T00:00:00"/>
    <d v="2024-03-12T00:00:00"/>
    <n v="75298"/>
    <s v="None"/>
    <s v="Cash"/>
    <x v="1"/>
    <s v="Recovered"/>
    <n v="4"/>
    <m/>
    <m/>
    <m/>
    <m/>
    <m/>
    <m/>
    <m/>
    <m/>
    <m/>
    <n v="2"/>
    <m/>
    <m/>
    <m/>
    <x v="3"/>
  </r>
  <r>
    <s v="P0935"/>
    <n v="46"/>
    <s v="Female"/>
    <s v="Orthopedic"/>
    <s v="General Medicine"/>
    <s v="Dr. Kumar"/>
    <d v="2024-03-05T00:00:00"/>
    <d v="2024-03-20T00:00:00"/>
    <n v="118806"/>
    <s v="Government"/>
    <s v="Card"/>
    <x v="2"/>
    <s v="Under Treatment"/>
    <n v="2"/>
    <m/>
    <m/>
    <m/>
    <m/>
    <m/>
    <m/>
    <m/>
    <m/>
    <m/>
    <n v="3"/>
    <m/>
    <m/>
    <m/>
    <x v="9"/>
  </r>
  <r>
    <s v="P0936"/>
    <n v="65"/>
    <s v="Female"/>
    <s v="Respiratory"/>
    <s v="Oncology"/>
    <s v="Dr. Priya"/>
    <d v="2024-11-01T00:00:00"/>
    <d v="2024-11-13T00:00:00"/>
    <n v="26793"/>
    <s v="Corporate"/>
    <s v="UPI"/>
    <x v="0"/>
    <s v="Under Treatment"/>
    <n v="1"/>
    <m/>
    <m/>
    <m/>
    <m/>
    <m/>
    <m/>
    <m/>
    <m/>
    <m/>
    <n v="11"/>
    <m/>
    <m/>
    <m/>
    <x v="6"/>
  </r>
  <r>
    <s v="P0937"/>
    <n v="70"/>
    <s v="Female"/>
    <s v="Respiratory"/>
    <s v="Oncology"/>
    <s v="Dr. Raj"/>
    <d v="2024-03-15T00:00:00"/>
    <d v="2024-03-19T00:00:00"/>
    <n v="171835"/>
    <s v="Private"/>
    <s v="UPI"/>
    <x v="4"/>
    <s v="Recovered"/>
    <n v="1"/>
    <m/>
    <m/>
    <m/>
    <m/>
    <m/>
    <m/>
    <m/>
    <m/>
    <m/>
    <n v="3"/>
    <m/>
    <m/>
    <m/>
    <x v="9"/>
  </r>
  <r>
    <s v="P0938"/>
    <n v="56"/>
    <s v="Female"/>
    <s v="Cancer"/>
    <s v="Neurology"/>
    <s v="Dr. Arun"/>
    <d v="2024-01-05T00:00:00"/>
    <d v="2024-01-09T00:00:00"/>
    <n v="159977"/>
    <s v="Corporate"/>
    <s v="Card"/>
    <x v="1"/>
    <s v="Follow-up"/>
    <n v="4"/>
    <m/>
    <m/>
    <m/>
    <m/>
    <m/>
    <m/>
    <m/>
    <m/>
    <m/>
    <n v="1"/>
    <m/>
    <m/>
    <m/>
    <x v="4"/>
  </r>
  <r>
    <s v="P0939"/>
    <n v="51"/>
    <s v="Male"/>
    <s v="Respiratory"/>
    <s v="Cardiology"/>
    <s v="Dr. Raj"/>
    <d v="2024-07-20T00:00:00"/>
    <d v="2024-08-08T00:00:00"/>
    <n v="93170"/>
    <s v="Private"/>
    <s v="UPI"/>
    <x v="4"/>
    <s v="Recovered"/>
    <n v="3"/>
    <m/>
    <m/>
    <m/>
    <m/>
    <m/>
    <m/>
    <m/>
    <m/>
    <m/>
    <n v="7"/>
    <m/>
    <m/>
    <m/>
    <x v="7"/>
  </r>
  <r>
    <s v="P0940"/>
    <n v="22"/>
    <s v="Female"/>
    <s v="Infection"/>
    <s v="Cardiology"/>
    <s v="Dr. Arun"/>
    <d v="2025-10-04T00:00:00"/>
    <d v="2025-10-12T00:00:00"/>
    <n v="75084"/>
    <s v="Private"/>
    <s v="Insurance Claim"/>
    <x v="3"/>
    <s v="Follow-up"/>
    <n v="1"/>
    <m/>
    <m/>
    <m/>
    <m/>
    <m/>
    <m/>
    <m/>
    <m/>
    <m/>
    <n v="10"/>
    <m/>
    <m/>
    <m/>
    <x v="8"/>
  </r>
  <r>
    <s v="P0941"/>
    <n v="50"/>
    <s v="Female"/>
    <s v="Neurological"/>
    <s v="General Medicine"/>
    <s v="Dr. Raj"/>
    <d v="2024-06-29T00:00:00"/>
    <d v="2024-07-03T00:00:00"/>
    <n v="12555"/>
    <s v="None"/>
    <s v="UPI"/>
    <x v="1"/>
    <s v="Under Treatment"/>
    <n v="5"/>
    <m/>
    <m/>
    <m/>
    <m/>
    <m/>
    <m/>
    <m/>
    <m/>
    <m/>
    <n v="6"/>
    <m/>
    <m/>
    <m/>
    <x v="11"/>
  </r>
  <r>
    <s v="P0942"/>
    <n v="24"/>
    <s v="Female"/>
    <s v="Respiratory"/>
    <s v="Cardiology"/>
    <s v="Dr. Kumar"/>
    <d v="2024-01-29T00:00:00"/>
    <d v="2024-01-31T00:00:00"/>
    <n v="72383"/>
    <s v="Private"/>
    <s v="Cash"/>
    <x v="3"/>
    <s v="Follow-up"/>
    <n v="1"/>
    <m/>
    <m/>
    <m/>
    <m/>
    <m/>
    <m/>
    <m/>
    <m/>
    <m/>
    <n v="1"/>
    <m/>
    <m/>
    <m/>
    <x v="4"/>
  </r>
  <r>
    <s v="P0943"/>
    <n v="55"/>
    <s v="Male"/>
    <s v="Neurological"/>
    <s v="Pulmonology"/>
    <s v="Dr. Raj"/>
    <d v="2025-11-27T00:00:00"/>
    <d v="2025-12-12T00:00:00"/>
    <n v="8533"/>
    <s v="Government"/>
    <s v="Card"/>
    <x v="2"/>
    <s v="Under Treatment"/>
    <n v="1"/>
    <m/>
    <m/>
    <m/>
    <m/>
    <m/>
    <m/>
    <m/>
    <m/>
    <m/>
    <n v="11"/>
    <m/>
    <m/>
    <m/>
    <x v="6"/>
  </r>
  <r>
    <s v="P0944"/>
    <n v="53"/>
    <s v="Female"/>
    <s v="Cancer"/>
    <s v="Pulmonology"/>
    <s v="Dr. Raj"/>
    <d v="2025-08-21T00:00:00"/>
    <d v="2025-08-25T00:00:00"/>
    <n v="244373"/>
    <s v="None"/>
    <s v="Insurance Claim"/>
    <x v="0"/>
    <s v="Follow-up"/>
    <n v="3"/>
    <m/>
    <m/>
    <m/>
    <m/>
    <m/>
    <m/>
    <m/>
    <m/>
    <m/>
    <n v="8"/>
    <m/>
    <m/>
    <m/>
    <x v="10"/>
  </r>
  <r>
    <s v="P0945"/>
    <n v="66"/>
    <s v="Male"/>
    <s v="Neurological"/>
    <s v="Pulmonology"/>
    <s v="Dr. Arun"/>
    <d v="2025-10-11T00:00:00"/>
    <d v="2025-10-13T00:00:00"/>
    <n v="136688"/>
    <s v="Corporate"/>
    <s v="Insurance Claim"/>
    <x v="2"/>
    <s v="Follow-up"/>
    <n v="4"/>
    <m/>
    <m/>
    <m/>
    <m/>
    <m/>
    <m/>
    <m/>
    <m/>
    <m/>
    <n v="10"/>
    <m/>
    <m/>
    <m/>
    <x v="8"/>
  </r>
  <r>
    <s v="P0946"/>
    <n v="35"/>
    <s v="Female"/>
    <s v="Orthopedic"/>
    <s v="General Medicine"/>
    <s v="Dr. Arun"/>
    <d v="2024-01-22T00:00:00"/>
    <d v="2024-01-23T00:00:00"/>
    <n v="121744"/>
    <s v="None"/>
    <s v="Insurance Claim"/>
    <x v="1"/>
    <s v="Follow-up"/>
    <n v="5"/>
    <m/>
    <m/>
    <m/>
    <m/>
    <m/>
    <m/>
    <m/>
    <m/>
    <m/>
    <n v="1"/>
    <m/>
    <m/>
    <m/>
    <x v="4"/>
  </r>
  <r>
    <s v="P0947"/>
    <n v="62"/>
    <s v="Male"/>
    <s v="Diabetes"/>
    <s v="Pulmonology"/>
    <s v="Dr. Kumar"/>
    <d v="2024-07-19T00:00:00"/>
    <d v="2024-08-05T00:00:00"/>
    <n v="140093"/>
    <s v="Corporate"/>
    <s v="UPI"/>
    <x v="3"/>
    <s v="Follow-up"/>
    <n v="4"/>
    <m/>
    <m/>
    <m/>
    <m/>
    <m/>
    <m/>
    <m/>
    <m/>
    <m/>
    <n v="7"/>
    <m/>
    <m/>
    <m/>
    <x v="7"/>
  </r>
  <r>
    <s v="P0948"/>
    <n v="39"/>
    <s v="Female"/>
    <s v="Diabetes"/>
    <s v="Oncology"/>
    <s v="Dr. Meena"/>
    <d v="2024-02-22T00:00:00"/>
    <d v="2024-03-11T00:00:00"/>
    <n v="113001"/>
    <s v="Private"/>
    <s v="Cash"/>
    <x v="1"/>
    <s v="Follow-up"/>
    <n v="2"/>
    <m/>
    <m/>
    <m/>
    <m/>
    <m/>
    <m/>
    <m/>
    <m/>
    <m/>
    <n v="2"/>
    <m/>
    <m/>
    <m/>
    <x v="3"/>
  </r>
  <r>
    <s v="P0949"/>
    <n v="22"/>
    <s v="Male"/>
    <s v="Diabetes"/>
    <s v="Neurology"/>
    <s v="Dr. Meena"/>
    <d v="2025-04-18T00:00:00"/>
    <d v="2025-04-24T00:00:00"/>
    <n v="204563"/>
    <s v="Corporate"/>
    <s v="Cash"/>
    <x v="1"/>
    <s v="Follow-up"/>
    <n v="2"/>
    <m/>
    <m/>
    <m/>
    <m/>
    <m/>
    <m/>
    <m/>
    <m/>
    <m/>
    <n v="4"/>
    <m/>
    <m/>
    <m/>
    <x v="0"/>
  </r>
  <r>
    <s v="P0950"/>
    <n v="27"/>
    <s v="Female"/>
    <s v="Cardiac"/>
    <s v="General Medicine"/>
    <s v="Dr. Priya"/>
    <d v="2025-05-24T00:00:00"/>
    <d v="2025-06-02T00:00:00"/>
    <n v="110568"/>
    <s v="None"/>
    <s v="Cash"/>
    <x v="4"/>
    <s v="Under Treatment"/>
    <n v="2"/>
    <m/>
    <m/>
    <m/>
    <m/>
    <m/>
    <m/>
    <m/>
    <m/>
    <m/>
    <n v="5"/>
    <m/>
    <m/>
    <m/>
    <x v="5"/>
  </r>
  <r>
    <s v="P0951"/>
    <n v="37"/>
    <s v="Male"/>
    <s v="Cardiac"/>
    <s v="Neurology"/>
    <s v="Dr. Arun"/>
    <d v="2025-04-26T00:00:00"/>
    <d v="2025-04-30T00:00:00"/>
    <n v="57819"/>
    <s v="Government"/>
    <s v="Cash"/>
    <x v="4"/>
    <s v="Follow-up"/>
    <n v="4"/>
    <m/>
    <m/>
    <m/>
    <m/>
    <m/>
    <m/>
    <m/>
    <m/>
    <m/>
    <n v="4"/>
    <m/>
    <m/>
    <m/>
    <x v="0"/>
  </r>
  <r>
    <s v="P0952"/>
    <n v="45"/>
    <s v="Female"/>
    <s v="Respiratory"/>
    <s v="Cardiology"/>
    <s v="Dr. Kumar"/>
    <d v="2024-01-12T00:00:00"/>
    <d v="2024-01-23T00:00:00"/>
    <n v="232993"/>
    <s v="None"/>
    <s v="Card"/>
    <x v="3"/>
    <s v="Follow-up"/>
    <n v="1"/>
    <m/>
    <m/>
    <m/>
    <m/>
    <m/>
    <m/>
    <m/>
    <m/>
    <m/>
    <n v="1"/>
    <m/>
    <m/>
    <m/>
    <x v="4"/>
  </r>
  <r>
    <s v="P0953"/>
    <n v="84"/>
    <s v="Female"/>
    <s v="Cancer"/>
    <s v="Orthopedics"/>
    <s v="Dr. Kumar"/>
    <d v="2025-08-13T00:00:00"/>
    <d v="2025-08-22T00:00:00"/>
    <n v="45533"/>
    <s v="Government"/>
    <s v="Insurance Claim"/>
    <x v="4"/>
    <s v="Follow-up"/>
    <n v="5"/>
    <m/>
    <m/>
    <m/>
    <m/>
    <m/>
    <m/>
    <m/>
    <m/>
    <m/>
    <n v="8"/>
    <m/>
    <m/>
    <m/>
    <x v="10"/>
  </r>
  <r>
    <s v="P0954"/>
    <n v="45"/>
    <s v="Female"/>
    <s v="Neurological"/>
    <s v="Cardiology"/>
    <s v="Dr. Arun"/>
    <d v="2024-03-31T00:00:00"/>
    <d v="2024-04-05T00:00:00"/>
    <n v="206192"/>
    <s v="None"/>
    <s v="Cash"/>
    <x v="0"/>
    <s v="Follow-up"/>
    <n v="3"/>
    <m/>
    <m/>
    <m/>
    <m/>
    <m/>
    <m/>
    <m/>
    <m/>
    <m/>
    <n v="3"/>
    <m/>
    <m/>
    <m/>
    <x v="9"/>
  </r>
  <r>
    <s v="P0955"/>
    <n v="35"/>
    <s v="Female"/>
    <s v="Neurological"/>
    <s v="Cardiology"/>
    <s v="Dr. Arun"/>
    <d v="2024-11-11T00:00:00"/>
    <d v="2024-11-30T00:00:00"/>
    <n v="72964"/>
    <s v="Government"/>
    <s v="Insurance Claim"/>
    <x v="1"/>
    <s v="Under Treatment"/>
    <n v="4"/>
    <m/>
    <m/>
    <m/>
    <m/>
    <m/>
    <m/>
    <m/>
    <m/>
    <m/>
    <n v="11"/>
    <m/>
    <m/>
    <m/>
    <x v="6"/>
  </r>
  <r>
    <s v="P0956"/>
    <n v="43"/>
    <s v="Male"/>
    <s v="Cardiac"/>
    <s v="Neurology"/>
    <s v="Dr. Priya"/>
    <d v="2024-01-16T00:00:00"/>
    <d v="2024-01-26T00:00:00"/>
    <n v="176705"/>
    <s v="Private"/>
    <s v="Cash"/>
    <x v="4"/>
    <s v="Under Treatment"/>
    <n v="2"/>
    <m/>
    <m/>
    <m/>
    <m/>
    <m/>
    <m/>
    <m/>
    <m/>
    <m/>
    <n v="1"/>
    <m/>
    <m/>
    <m/>
    <x v="4"/>
  </r>
  <r>
    <s v="P0957"/>
    <n v="28"/>
    <s v="Male"/>
    <s v="Respiratory"/>
    <s v="Pulmonology"/>
    <s v="Dr. Meena"/>
    <d v="2024-01-06T00:00:00"/>
    <d v="2024-01-22T00:00:00"/>
    <n v="109480"/>
    <s v="None"/>
    <s v="Cash"/>
    <x v="3"/>
    <s v="Under Treatment"/>
    <n v="3"/>
    <m/>
    <m/>
    <m/>
    <m/>
    <m/>
    <m/>
    <m/>
    <m/>
    <m/>
    <n v="1"/>
    <m/>
    <m/>
    <m/>
    <x v="4"/>
  </r>
  <r>
    <s v="P0958"/>
    <n v="84"/>
    <s v="Male"/>
    <s v="Orthopedic"/>
    <s v="Orthopedics"/>
    <s v="Dr. Priya"/>
    <d v="2025-07-23T00:00:00"/>
    <d v="2025-07-30T00:00:00"/>
    <n v="5409"/>
    <s v="Government"/>
    <s v="Cash"/>
    <x v="2"/>
    <s v="Under Treatment"/>
    <n v="4"/>
    <m/>
    <m/>
    <m/>
    <m/>
    <m/>
    <m/>
    <m/>
    <m/>
    <m/>
    <n v="7"/>
    <m/>
    <m/>
    <m/>
    <x v="7"/>
  </r>
  <r>
    <s v="P0959"/>
    <n v="47"/>
    <s v="Female"/>
    <s v="Diabetes"/>
    <s v="Neurology"/>
    <s v="Dr. Arun"/>
    <d v="2024-08-12T00:00:00"/>
    <d v="2024-08-28T00:00:00"/>
    <n v="15511"/>
    <s v="None"/>
    <s v="Insurance Claim"/>
    <x v="3"/>
    <s v="Follow-up"/>
    <n v="3"/>
    <m/>
    <m/>
    <m/>
    <m/>
    <m/>
    <m/>
    <m/>
    <m/>
    <m/>
    <n v="8"/>
    <m/>
    <m/>
    <m/>
    <x v="10"/>
  </r>
  <r>
    <s v="P0960"/>
    <n v="68"/>
    <s v="Male"/>
    <s v="Cardiac"/>
    <s v="Oncology"/>
    <s v="Dr. Raj"/>
    <d v="2024-01-11T00:00:00"/>
    <d v="2024-01-27T00:00:00"/>
    <n v="237353"/>
    <s v="Government"/>
    <s v="UPI"/>
    <x v="0"/>
    <s v="Recovered"/>
    <n v="3"/>
    <m/>
    <m/>
    <m/>
    <m/>
    <m/>
    <m/>
    <m/>
    <m/>
    <m/>
    <n v="1"/>
    <m/>
    <m/>
    <m/>
    <x v="4"/>
  </r>
  <r>
    <s v="P0961"/>
    <n v="81"/>
    <s v="Female"/>
    <s v="Orthopedic"/>
    <s v="Neurology"/>
    <s v="Dr. Meena"/>
    <d v="2025-11-06T00:00:00"/>
    <d v="2025-11-17T00:00:00"/>
    <n v="76737"/>
    <s v="None"/>
    <s v="Insurance Claim"/>
    <x v="2"/>
    <s v="Recovered"/>
    <n v="4"/>
    <m/>
    <m/>
    <m/>
    <m/>
    <m/>
    <m/>
    <m/>
    <m/>
    <m/>
    <n v="11"/>
    <m/>
    <m/>
    <m/>
    <x v="6"/>
  </r>
  <r>
    <s v="P0962"/>
    <n v="80"/>
    <s v="Female"/>
    <s v="Orthopedic"/>
    <s v="Oncology"/>
    <s v="Dr. Priya"/>
    <d v="2025-04-25T00:00:00"/>
    <d v="2025-05-05T00:00:00"/>
    <n v="185394"/>
    <s v="Government"/>
    <s v="Card"/>
    <x v="3"/>
    <s v="Recovered"/>
    <n v="3"/>
    <m/>
    <m/>
    <m/>
    <m/>
    <m/>
    <m/>
    <m/>
    <m/>
    <m/>
    <n v="4"/>
    <m/>
    <m/>
    <m/>
    <x v="0"/>
  </r>
  <r>
    <s v="P0963"/>
    <n v="30"/>
    <s v="Male"/>
    <s v="Respiratory"/>
    <s v="Orthopedics"/>
    <s v="Dr. Priya"/>
    <d v="2024-09-15T00:00:00"/>
    <d v="2024-09-29T00:00:00"/>
    <n v="62058"/>
    <s v="Private"/>
    <s v="UPI"/>
    <x v="4"/>
    <s v="Follow-up"/>
    <n v="1"/>
    <m/>
    <m/>
    <m/>
    <m/>
    <m/>
    <m/>
    <m/>
    <m/>
    <m/>
    <n v="9"/>
    <m/>
    <m/>
    <m/>
    <x v="1"/>
  </r>
  <r>
    <s v="P0964"/>
    <n v="49"/>
    <s v="Male"/>
    <s v="Respiratory"/>
    <s v="Cardiology"/>
    <s v="Dr. Raj"/>
    <d v="2025-03-17T00:00:00"/>
    <d v="2025-04-04T00:00:00"/>
    <n v="57197"/>
    <s v="Private"/>
    <s v="UPI"/>
    <x v="2"/>
    <s v="Recovered"/>
    <n v="5"/>
    <m/>
    <m/>
    <m/>
    <m/>
    <m/>
    <m/>
    <m/>
    <m/>
    <m/>
    <n v="3"/>
    <m/>
    <m/>
    <m/>
    <x v="9"/>
  </r>
  <r>
    <s v="P0965"/>
    <n v="51"/>
    <s v="Female"/>
    <s v="Neurological"/>
    <s v="Oncology"/>
    <s v="Dr. Kumar"/>
    <d v="2025-04-08T00:00:00"/>
    <d v="2025-04-12T00:00:00"/>
    <n v="229178"/>
    <s v="None"/>
    <s v="Card"/>
    <x v="1"/>
    <s v="Follow-up"/>
    <n v="1"/>
    <m/>
    <m/>
    <m/>
    <m/>
    <m/>
    <m/>
    <m/>
    <m/>
    <m/>
    <n v="4"/>
    <m/>
    <m/>
    <m/>
    <x v="0"/>
  </r>
  <r>
    <s v="P0966"/>
    <n v="57"/>
    <s v="Female"/>
    <s v="Cancer"/>
    <s v="Pulmonology"/>
    <s v="Dr. Meena"/>
    <d v="2024-06-24T00:00:00"/>
    <d v="2024-07-05T00:00:00"/>
    <n v="24367"/>
    <s v="Corporate"/>
    <s v="Cash"/>
    <x v="3"/>
    <s v="Under Treatment"/>
    <n v="4"/>
    <m/>
    <m/>
    <m/>
    <m/>
    <m/>
    <m/>
    <m/>
    <m/>
    <m/>
    <n v="6"/>
    <m/>
    <m/>
    <m/>
    <x v="11"/>
  </r>
  <r>
    <s v="P0967"/>
    <n v="18"/>
    <s v="Female"/>
    <s v="Cancer"/>
    <s v="Orthopedics"/>
    <s v="Dr. Kumar"/>
    <d v="2025-11-30T00:00:00"/>
    <d v="2025-12-05T00:00:00"/>
    <n v="221049"/>
    <s v="None"/>
    <s v="Insurance Claim"/>
    <x v="3"/>
    <s v="Follow-up"/>
    <n v="2"/>
    <m/>
    <m/>
    <m/>
    <m/>
    <m/>
    <m/>
    <m/>
    <m/>
    <m/>
    <n v="11"/>
    <m/>
    <m/>
    <m/>
    <x v="6"/>
  </r>
  <r>
    <s v="P0968"/>
    <n v="46"/>
    <s v="Male"/>
    <s v="Diabetes"/>
    <s v="Orthopedics"/>
    <s v="Dr. Kumar"/>
    <d v="2024-11-05T00:00:00"/>
    <d v="2024-11-24T00:00:00"/>
    <n v="32238"/>
    <s v="Government"/>
    <s v="UPI"/>
    <x v="3"/>
    <s v="Recovered"/>
    <n v="2"/>
    <m/>
    <m/>
    <m/>
    <m/>
    <m/>
    <m/>
    <m/>
    <m/>
    <m/>
    <n v="11"/>
    <m/>
    <m/>
    <m/>
    <x v="6"/>
  </r>
  <r>
    <s v="P0969"/>
    <n v="37"/>
    <s v="Male"/>
    <s v="Neurological"/>
    <s v="General Medicine"/>
    <s v="Dr. Raj"/>
    <d v="2025-04-18T00:00:00"/>
    <d v="2025-04-29T00:00:00"/>
    <n v="169064"/>
    <s v="None"/>
    <s v="Card"/>
    <x v="3"/>
    <s v="Recovered"/>
    <n v="1"/>
    <m/>
    <m/>
    <m/>
    <m/>
    <m/>
    <m/>
    <m/>
    <m/>
    <m/>
    <n v="4"/>
    <m/>
    <m/>
    <m/>
    <x v="0"/>
  </r>
  <r>
    <s v="P0970"/>
    <n v="71"/>
    <s v="Male"/>
    <s v="Diabetes"/>
    <s v="Orthopedics"/>
    <s v="Dr. Priya"/>
    <d v="2025-12-01T00:00:00"/>
    <d v="2025-12-10T00:00:00"/>
    <n v="194536"/>
    <s v="Corporate"/>
    <s v="Cash"/>
    <x v="0"/>
    <s v="Under Treatment"/>
    <n v="3"/>
    <m/>
    <m/>
    <m/>
    <m/>
    <m/>
    <m/>
    <m/>
    <m/>
    <m/>
    <n v="12"/>
    <m/>
    <m/>
    <m/>
    <x v="2"/>
  </r>
  <r>
    <s v="P0971"/>
    <n v="73"/>
    <s v="Female"/>
    <s v="Infection"/>
    <s v="Oncology"/>
    <s v="Dr. Priya"/>
    <d v="2025-06-26T00:00:00"/>
    <d v="2025-07-13T00:00:00"/>
    <n v="6542"/>
    <s v="Corporate"/>
    <s v="Cash"/>
    <x v="2"/>
    <s v="Under Treatment"/>
    <n v="1"/>
    <m/>
    <m/>
    <m/>
    <m/>
    <m/>
    <m/>
    <m/>
    <m/>
    <m/>
    <n v="6"/>
    <m/>
    <m/>
    <m/>
    <x v="11"/>
  </r>
  <r>
    <s v="P0972"/>
    <n v="81"/>
    <s v="Male"/>
    <s v="Cardiac"/>
    <s v="Orthopedics"/>
    <s v="Dr. Meena"/>
    <d v="2025-11-16T00:00:00"/>
    <d v="2025-11-22T00:00:00"/>
    <n v="121864"/>
    <s v="Government"/>
    <s v="Insurance Claim"/>
    <x v="2"/>
    <s v="Follow-up"/>
    <n v="3"/>
    <m/>
    <m/>
    <m/>
    <m/>
    <m/>
    <m/>
    <m/>
    <m/>
    <m/>
    <n v="11"/>
    <m/>
    <m/>
    <m/>
    <x v="6"/>
  </r>
  <r>
    <s v="P0973"/>
    <n v="76"/>
    <s v="Female"/>
    <s v="Respiratory"/>
    <s v="Pulmonology"/>
    <s v="Dr. Kumar"/>
    <d v="2024-06-05T00:00:00"/>
    <d v="2024-06-18T00:00:00"/>
    <n v="128447"/>
    <s v="None"/>
    <s v="Card"/>
    <x v="2"/>
    <s v="Follow-up"/>
    <n v="2"/>
    <m/>
    <m/>
    <m/>
    <m/>
    <m/>
    <m/>
    <m/>
    <m/>
    <m/>
    <n v="6"/>
    <m/>
    <m/>
    <m/>
    <x v="11"/>
  </r>
  <r>
    <s v="P0974"/>
    <n v="49"/>
    <s v="Male"/>
    <s v="Respiratory"/>
    <s v="Orthopedics"/>
    <s v="Dr. Kumar"/>
    <d v="2024-09-21T00:00:00"/>
    <d v="2024-10-03T00:00:00"/>
    <n v="66051"/>
    <s v="None"/>
    <s v="Cash"/>
    <x v="1"/>
    <s v="Recovered"/>
    <n v="5"/>
    <m/>
    <m/>
    <m/>
    <m/>
    <m/>
    <m/>
    <m/>
    <m/>
    <m/>
    <n v="9"/>
    <m/>
    <m/>
    <m/>
    <x v="1"/>
  </r>
  <r>
    <s v="P0975"/>
    <n v="37"/>
    <s v="Female"/>
    <s v="Cardiac"/>
    <s v="Oncology"/>
    <s v="Dr. Kumar"/>
    <d v="2025-03-08T00:00:00"/>
    <d v="2025-03-17T00:00:00"/>
    <n v="9381"/>
    <s v="None"/>
    <s v="UPI"/>
    <x v="1"/>
    <s v="Recovered"/>
    <n v="5"/>
    <m/>
    <m/>
    <m/>
    <m/>
    <m/>
    <m/>
    <m/>
    <m/>
    <m/>
    <n v="3"/>
    <m/>
    <m/>
    <m/>
    <x v="9"/>
  </r>
  <r>
    <s v="P0976"/>
    <n v="44"/>
    <s v="Male"/>
    <s v="Orthopedic"/>
    <s v="Cardiology"/>
    <s v="Dr. Priya"/>
    <d v="2025-07-21T00:00:00"/>
    <d v="2025-08-04T00:00:00"/>
    <n v="40202"/>
    <s v="None"/>
    <s v="Insurance Claim"/>
    <x v="1"/>
    <s v="Under Treatment"/>
    <n v="2"/>
    <m/>
    <m/>
    <m/>
    <m/>
    <m/>
    <m/>
    <m/>
    <m/>
    <m/>
    <n v="7"/>
    <m/>
    <m/>
    <m/>
    <x v="7"/>
  </r>
  <r>
    <s v="P0977"/>
    <n v="74"/>
    <s v="Female"/>
    <s v="Orthopedic"/>
    <s v="General Medicine"/>
    <s v="Dr. Raj"/>
    <d v="2025-09-03T00:00:00"/>
    <d v="2025-09-20T00:00:00"/>
    <n v="206561"/>
    <s v="Private"/>
    <s v="UPI"/>
    <x v="4"/>
    <s v="Follow-up"/>
    <n v="5"/>
    <m/>
    <m/>
    <m/>
    <m/>
    <m/>
    <m/>
    <m/>
    <m/>
    <m/>
    <n v="9"/>
    <m/>
    <m/>
    <m/>
    <x v="1"/>
  </r>
  <r>
    <s v="P0978"/>
    <n v="59"/>
    <s v="Female"/>
    <s v="Diabetes"/>
    <s v="General Medicine"/>
    <s v="Dr. Raj"/>
    <d v="2025-05-18T00:00:00"/>
    <d v="2025-05-29T00:00:00"/>
    <n v="59281"/>
    <s v="Private"/>
    <s v="Insurance Claim"/>
    <x v="3"/>
    <s v="Recovered"/>
    <n v="4"/>
    <m/>
    <m/>
    <m/>
    <m/>
    <m/>
    <m/>
    <m/>
    <m/>
    <m/>
    <n v="5"/>
    <m/>
    <m/>
    <m/>
    <x v="5"/>
  </r>
  <r>
    <s v="P0979"/>
    <n v="43"/>
    <s v="Female"/>
    <s v="Cardiac"/>
    <s v="Neurology"/>
    <s v="Dr. Priya"/>
    <d v="2024-12-17T00:00:00"/>
    <d v="2024-12-22T00:00:00"/>
    <n v="205807"/>
    <s v="Government"/>
    <s v="Insurance Claim"/>
    <x v="3"/>
    <s v="Recovered"/>
    <n v="5"/>
    <m/>
    <m/>
    <m/>
    <m/>
    <m/>
    <m/>
    <m/>
    <m/>
    <m/>
    <n v="12"/>
    <m/>
    <m/>
    <m/>
    <x v="2"/>
  </r>
  <r>
    <s v="P0980"/>
    <n v="66"/>
    <s v="Female"/>
    <s v="Cancer"/>
    <s v="Orthopedics"/>
    <s v="Dr. Meena"/>
    <d v="2024-04-14T00:00:00"/>
    <d v="2024-04-26T00:00:00"/>
    <n v="190766"/>
    <s v="Private"/>
    <s v="UPI"/>
    <x v="4"/>
    <s v="Follow-up"/>
    <n v="1"/>
    <m/>
    <m/>
    <m/>
    <m/>
    <m/>
    <m/>
    <m/>
    <m/>
    <m/>
    <n v="4"/>
    <m/>
    <m/>
    <m/>
    <x v="0"/>
  </r>
  <r>
    <s v="P0981"/>
    <n v="63"/>
    <s v="Male"/>
    <s v="Diabetes"/>
    <s v="General Medicine"/>
    <s v="Dr. Priya"/>
    <d v="2024-06-08T00:00:00"/>
    <d v="2024-06-14T00:00:00"/>
    <n v="93247"/>
    <s v="Government"/>
    <s v="Insurance Claim"/>
    <x v="1"/>
    <s v="Follow-up"/>
    <n v="3"/>
    <m/>
    <m/>
    <m/>
    <m/>
    <m/>
    <m/>
    <m/>
    <m/>
    <m/>
    <n v="6"/>
    <m/>
    <m/>
    <m/>
    <x v="11"/>
  </r>
  <r>
    <s v="P0982"/>
    <n v="39"/>
    <s v="Female"/>
    <s v="Orthopedic"/>
    <s v="Neurology"/>
    <s v="Dr. Priya"/>
    <d v="2025-08-17T00:00:00"/>
    <d v="2025-08-21T00:00:00"/>
    <n v="91904"/>
    <s v="Corporate"/>
    <s v="Card"/>
    <x v="1"/>
    <s v="Under Treatment"/>
    <n v="2"/>
    <m/>
    <m/>
    <m/>
    <m/>
    <m/>
    <m/>
    <m/>
    <m/>
    <m/>
    <n v="8"/>
    <m/>
    <m/>
    <m/>
    <x v="10"/>
  </r>
  <r>
    <s v="P0983"/>
    <n v="78"/>
    <s v="Female"/>
    <s v="Orthopedic"/>
    <s v="Orthopedics"/>
    <s v="Dr. Arun"/>
    <d v="2024-10-14T00:00:00"/>
    <d v="2024-10-26T00:00:00"/>
    <n v="221317"/>
    <s v="Corporate"/>
    <s v="Insurance Claim"/>
    <x v="4"/>
    <s v="Follow-up"/>
    <n v="3"/>
    <m/>
    <m/>
    <m/>
    <m/>
    <m/>
    <m/>
    <m/>
    <m/>
    <m/>
    <n v="10"/>
    <m/>
    <m/>
    <m/>
    <x v="8"/>
  </r>
  <r>
    <s v="P0984"/>
    <n v="52"/>
    <s v="Female"/>
    <s v="Orthopedic"/>
    <s v="Neurology"/>
    <s v="Dr. Meena"/>
    <d v="2024-11-18T00:00:00"/>
    <d v="2024-11-23T00:00:00"/>
    <n v="89222"/>
    <s v="Government"/>
    <s v="Insurance Claim"/>
    <x v="2"/>
    <s v="Recovered"/>
    <n v="5"/>
    <m/>
    <m/>
    <m/>
    <m/>
    <m/>
    <m/>
    <m/>
    <m/>
    <m/>
    <n v="11"/>
    <m/>
    <m/>
    <m/>
    <x v="6"/>
  </r>
  <r>
    <s v="P0985"/>
    <n v="83"/>
    <s v="Female"/>
    <s v="Respiratory"/>
    <s v="General Medicine"/>
    <s v="Dr. Arun"/>
    <d v="2025-04-30T00:00:00"/>
    <d v="2025-05-09T00:00:00"/>
    <n v="73182"/>
    <s v="Government"/>
    <s v="Card"/>
    <x v="4"/>
    <s v="Under Treatment"/>
    <n v="5"/>
    <m/>
    <m/>
    <m/>
    <m/>
    <m/>
    <m/>
    <m/>
    <m/>
    <m/>
    <n v="4"/>
    <m/>
    <m/>
    <m/>
    <x v="0"/>
  </r>
  <r>
    <s v="P0986"/>
    <n v="54"/>
    <s v="Male"/>
    <s v="Cardiac"/>
    <s v="Pulmonology"/>
    <s v="Dr. Kumar"/>
    <d v="2024-12-11T00:00:00"/>
    <d v="2024-12-23T00:00:00"/>
    <n v="229679"/>
    <s v="Corporate"/>
    <s v="Card"/>
    <x v="3"/>
    <s v="Recovered"/>
    <n v="5"/>
    <m/>
    <m/>
    <m/>
    <m/>
    <m/>
    <m/>
    <m/>
    <m/>
    <m/>
    <n v="12"/>
    <m/>
    <m/>
    <m/>
    <x v="2"/>
  </r>
  <r>
    <s v="P0987"/>
    <n v="62"/>
    <s v="Female"/>
    <s v="Cardiac"/>
    <s v="Neurology"/>
    <s v="Dr. Kumar"/>
    <d v="2024-10-24T00:00:00"/>
    <d v="2024-11-07T00:00:00"/>
    <n v="188168"/>
    <s v="Government"/>
    <s v="Card"/>
    <x v="4"/>
    <s v="Recovered"/>
    <n v="3"/>
    <m/>
    <m/>
    <m/>
    <m/>
    <m/>
    <m/>
    <m/>
    <m/>
    <m/>
    <n v="10"/>
    <m/>
    <m/>
    <m/>
    <x v="8"/>
  </r>
  <r>
    <s v="P0988"/>
    <n v="36"/>
    <s v="Female"/>
    <s v="Infection"/>
    <s v="Oncology"/>
    <s v="Dr. Meena"/>
    <d v="2025-03-27T00:00:00"/>
    <d v="2025-03-30T00:00:00"/>
    <n v="17151"/>
    <s v="Corporate"/>
    <s v="Insurance Claim"/>
    <x v="0"/>
    <s v="Under Treatment"/>
    <n v="1"/>
    <m/>
    <m/>
    <m/>
    <m/>
    <m/>
    <m/>
    <m/>
    <m/>
    <m/>
    <n v="3"/>
    <m/>
    <m/>
    <m/>
    <x v="9"/>
  </r>
  <r>
    <s v="P0989"/>
    <n v="81"/>
    <s v="Female"/>
    <s v="Infection"/>
    <s v="Neurology"/>
    <s v="Dr. Arun"/>
    <d v="2025-07-09T00:00:00"/>
    <d v="2025-07-10T00:00:00"/>
    <n v="236780"/>
    <s v="None"/>
    <s v="Cash"/>
    <x v="2"/>
    <s v="Follow-up"/>
    <n v="2"/>
    <m/>
    <m/>
    <m/>
    <m/>
    <m/>
    <m/>
    <m/>
    <m/>
    <m/>
    <n v="7"/>
    <m/>
    <m/>
    <m/>
    <x v="7"/>
  </r>
  <r>
    <s v="P0990"/>
    <n v="57"/>
    <s v="Female"/>
    <s v="Cancer"/>
    <s v="Orthopedics"/>
    <s v="Dr. Meena"/>
    <d v="2025-12-14T00:00:00"/>
    <d v="2025-12-18T00:00:00"/>
    <n v="20827"/>
    <s v="Government"/>
    <s v="UPI"/>
    <x v="1"/>
    <s v="Under Treatment"/>
    <n v="3"/>
    <m/>
    <m/>
    <m/>
    <m/>
    <m/>
    <m/>
    <m/>
    <m/>
    <m/>
    <n v="12"/>
    <m/>
    <m/>
    <m/>
    <x v="2"/>
  </r>
  <r>
    <s v="P0991"/>
    <n v="75"/>
    <s v="Male"/>
    <s v="Respiratory"/>
    <s v="Neurology"/>
    <s v="Dr. Priya"/>
    <d v="2024-03-07T00:00:00"/>
    <d v="2024-03-13T00:00:00"/>
    <n v="10154"/>
    <s v="None"/>
    <s v="Cash"/>
    <x v="3"/>
    <s v="Recovered"/>
    <n v="2"/>
    <m/>
    <m/>
    <m/>
    <m/>
    <m/>
    <m/>
    <m/>
    <m/>
    <m/>
    <n v="3"/>
    <m/>
    <m/>
    <m/>
    <x v="9"/>
  </r>
  <r>
    <s v="P0992"/>
    <n v="63"/>
    <s v="Male"/>
    <s v="Respiratory"/>
    <s v="General Medicine"/>
    <s v="Dr. Kumar"/>
    <d v="2025-06-24T00:00:00"/>
    <d v="2025-07-06T00:00:00"/>
    <n v="121530"/>
    <s v="None"/>
    <s v="UPI"/>
    <x v="2"/>
    <s v="Follow-up"/>
    <n v="1"/>
    <m/>
    <m/>
    <m/>
    <m/>
    <m/>
    <m/>
    <m/>
    <m/>
    <m/>
    <n v="6"/>
    <m/>
    <m/>
    <m/>
    <x v="11"/>
  </r>
  <r>
    <s v="P0993"/>
    <n v="49"/>
    <s v="Male"/>
    <s v="Orthopedic"/>
    <s v="Cardiology"/>
    <s v="Dr. Priya"/>
    <d v="2025-01-05T00:00:00"/>
    <d v="2025-01-09T00:00:00"/>
    <n v="58437"/>
    <s v="Government"/>
    <s v="Card"/>
    <x v="0"/>
    <s v="Under Treatment"/>
    <n v="3"/>
    <m/>
    <m/>
    <m/>
    <m/>
    <m/>
    <m/>
    <m/>
    <m/>
    <m/>
    <n v="1"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D091D-7093-4463-80E4-A1D7734165DA}" name="PivotTable5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5" showAll="0"/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0497D-EF31-45F0-A024-258BBEE56E31}" name="PivotTable5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6" firstHeaderRow="1" firstDataRow="1" firstDataCol="1" rowPageCount="1" colPageCount="1"/>
  <pivotFields count="28">
    <pivotField dataField="1"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5" showAll="0"/>
    <pivotField showAll="0"/>
    <pivotField showAll="0"/>
    <pivotField axis="axisPage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3"/>
        <item x="9"/>
        <item x="0"/>
        <item x="5"/>
        <item x="11"/>
        <item x="7"/>
        <item x="10"/>
        <item x="1"/>
        <item x="8"/>
        <item x="6"/>
        <item x="2"/>
        <item t="default"/>
      </items>
    </pivotField>
  </pivotFields>
  <rowFields count="1">
    <field x="2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1" item="0" hier="-1"/>
  </pageFields>
  <dataFields count="1">
    <dataField name="Count of Patient_ID" fld="0" subtotal="count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FB360-C09A-4CD1-810C-645F72742D23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>
  <location ref="A3:B7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reatment_Cost" fld="8" baseField="0" baseItem="0" numFmtId="165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1DE-669F-4DF7-8395-2177D25245DF}">
  <dimension ref="A3:B9"/>
  <sheetViews>
    <sheetView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17.6328125" bestFit="1" customWidth="1"/>
  </cols>
  <sheetData>
    <row r="3" spans="1:2" x14ac:dyDescent="0.35">
      <c r="A3" s="5" t="s">
        <v>1065</v>
      </c>
      <c r="B3" t="s">
        <v>1063</v>
      </c>
    </row>
    <row r="4" spans="1:2" x14ac:dyDescent="0.35">
      <c r="A4" s="6" t="s">
        <v>46</v>
      </c>
      <c r="B4">
        <v>168</v>
      </c>
    </row>
    <row r="5" spans="1:2" x14ac:dyDescent="0.35">
      <c r="A5" s="6" t="s">
        <v>21</v>
      </c>
      <c r="B5">
        <v>185</v>
      </c>
    </row>
    <row r="6" spans="1:2" x14ac:dyDescent="0.35">
      <c r="A6" s="6" t="s">
        <v>48</v>
      </c>
      <c r="B6">
        <v>208</v>
      </c>
    </row>
    <row r="7" spans="1:2" x14ac:dyDescent="0.35">
      <c r="A7" s="6" t="s">
        <v>43</v>
      </c>
      <c r="B7">
        <v>203</v>
      </c>
    </row>
    <row r="8" spans="1:2" x14ac:dyDescent="0.35">
      <c r="A8" s="6" t="s">
        <v>33</v>
      </c>
      <c r="B8">
        <v>236</v>
      </c>
    </row>
    <row r="9" spans="1:2" x14ac:dyDescent="0.35">
      <c r="A9" s="6" t="s">
        <v>1066</v>
      </c>
      <c r="B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0E3B-82AC-41FF-BE7A-DECCBFA03051}">
  <dimension ref="A1:B16"/>
  <sheetViews>
    <sheetView workbookViewId="0">
      <selection activeCell="C12" sqref="C12"/>
    </sheetView>
  </sheetViews>
  <sheetFormatPr defaultRowHeight="14.5" x14ac:dyDescent="0.35"/>
  <cols>
    <col min="1" max="1" width="12.36328125" bestFit="1" customWidth="1"/>
    <col min="2" max="2" width="17.6328125" bestFit="1" customWidth="1"/>
    <col min="3" max="3" width="11.7265625" bestFit="1" customWidth="1"/>
  </cols>
  <sheetData>
    <row r="1" spans="1:2" x14ac:dyDescent="0.35">
      <c r="A1" s="5" t="s">
        <v>11</v>
      </c>
      <c r="B1" t="s">
        <v>46</v>
      </c>
    </row>
    <row r="3" spans="1:2" x14ac:dyDescent="0.35">
      <c r="A3" s="5" t="s">
        <v>1065</v>
      </c>
      <c r="B3" t="s">
        <v>1063</v>
      </c>
    </row>
    <row r="4" spans="1:2" x14ac:dyDescent="0.35">
      <c r="A4" s="6" t="s">
        <v>1069</v>
      </c>
      <c r="B4">
        <v>14</v>
      </c>
    </row>
    <row r="5" spans="1:2" x14ac:dyDescent="0.35">
      <c r="A5" s="6" t="s">
        <v>1068</v>
      </c>
      <c r="B5">
        <v>13</v>
      </c>
    </row>
    <row r="6" spans="1:2" x14ac:dyDescent="0.35">
      <c r="A6" s="6" t="s">
        <v>1070</v>
      </c>
      <c r="B6">
        <v>9</v>
      </c>
    </row>
    <row r="7" spans="1:2" x14ac:dyDescent="0.35">
      <c r="A7" s="6" t="s">
        <v>1067</v>
      </c>
      <c r="B7">
        <v>17</v>
      </c>
    </row>
    <row r="8" spans="1:2" x14ac:dyDescent="0.35">
      <c r="A8" s="6" t="s">
        <v>1072</v>
      </c>
      <c r="B8">
        <v>13</v>
      </c>
    </row>
    <row r="9" spans="1:2" x14ac:dyDescent="0.35">
      <c r="A9" s="6" t="s">
        <v>1073</v>
      </c>
      <c r="B9">
        <v>16</v>
      </c>
    </row>
    <row r="10" spans="1:2" x14ac:dyDescent="0.35">
      <c r="A10" s="6" t="s">
        <v>1074</v>
      </c>
      <c r="B10">
        <v>14</v>
      </c>
    </row>
    <row r="11" spans="1:2" x14ac:dyDescent="0.35">
      <c r="A11" s="6" t="s">
        <v>1075</v>
      </c>
      <c r="B11">
        <v>11</v>
      </c>
    </row>
    <row r="12" spans="1:2" x14ac:dyDescent="0.35">
      <c r="A12" s="6" t="s">
        <v>1076</v>
      </c>
      <c r="B12">
        <v>15</v>
      </c>
    </row>
    <row r="13" spans="1:2" x14ac:dyDescent="0.35">
      <c r="A13" s="6" t="s">
        <v>1077</v>
      </c>
      <c r="B13">
        <v>16</v>
      </c>
    </row>
    <row r="14" spans="1:2" x14ac:dyDescent="0.35">
      <c r="A14" s="6" t="s">
        <v>1078</v>
      </c>
      <c r="B14">
        <v>11</v>
      </c>
    </row>
    <row r="15" spans="1:2" x14ac:dyDescent="0.35">
      <c r="A15" s="6" t="s">
        <v>1079</v>
      </c>
      <c r="B15">
        <v>18</v>
      </c>
    </row>
    <row r="16" spans="1:2" x14ac:dyDescent="0.35">
      <c r="A16" s="6" t="s">
        <v>1066</v>
      </c>
      <c r="B16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CE2B-73F9-4103-92D5-B37A188FFCE8}">
  <dimension ref="A3:B7"/>
  <sheetViews>
    <sheetView workbookViewId="0">
      <selection activeCell="A3" sqref="A3:B7"/>
    </sheetView>
  </sheetViews>
  <sheetFormatPr defaultRowHeight="14.5" x14ac:dyDescent="0.35"/>
  <cols>
    <col min="1" max="1" width="16.54296875" bestFit="1" customWidth="1"/>
    <col min="2" max="2" width="20.90625" bestFit="1" customWidth="1"/>
  </cols>
  <sheetData>
    <row r="3" spans="1:2" x14ac:dyDescent="0.35">
      <c r="A3" s="5" t="s">
        <v>10</v>
      </c>
      <c r="B3" t="s">
        <v>1062</v>
      </c>
    </row>
    <row r="4" spans="1:2" x14ac:dyDescent="0.35">
      <c r="A4" t="s">
        <v>20</v>
      </c>
      <c r="B4" s="4">
        <v>33006565</v>
      </c>
    </row>
    <row r="5" spans="1:2" x14ac:dyDescent="0.35">
      <c r="A5" t="s">
        <v>63</v>
      </c>
      <c r="B5" s="4">
        <v>31338275</v>
      </c>
    </row>
    <row r="6" spans="1:2" x14ac:dyDescent="0.35">
      <c r="A6" t="s">
        <v>29</v>
      </c>
      <c r="B6" s="4">
        <v>30171231</v>
      </c>
    </row>
    <row r="7" spans="1:2" x14ac:dyDescent="0.35">
      <c r="A7" t="s">
        <v>42</v>
      </c>
      <c r="B7" s="4">
        <v>30866990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opLeftCell="J1" zoomScaleNormal="100" workbookViewId="0">
      <selection activeCell="P8" sqref="P8"/>
    </sheetView>
  </sheetViews>
  <sheetFormatPr defaultRowHeight="14.5" x14ac:dyDescent="0.35"/>
  <cols>
    <col min="1" max="1" width="9.7265625" bestFit="1" customWidth="1"/>
    <col min="2" max="2" width="3.90625" bestFit="1" customWidth="1"/>
    <col min="3" max="3" width="7" bestFit="1" customWidth="1"/>
    <col min="4" max="4" width="12.1796875" bestFit="1" customWidth="1"/>
    <col min="5" max="5" width="15.54296875" bestFit="1" customWidth="1"/>
    <col min="6" max="6" width="12.453125" bestFit="1" customWidth="1"/>
    <col min="7" max="7" width="15" customWidth="1"/>
    <col min="8" max="8" width="14" bestFit="1" customWidth="1"/>
    <col min="9" max="9" width="14.54296875" bestFit="1" customWidth="1"/>
    <col min="10" max="10" width="14.08984375" bestFit="1" customWidth="1"/>
    <col min="11" max="11" width="18" customWidth="1"/>
    <col min="12" max="12" width="7.81640625" customWidth="1"/>
    <col min="13" max="13" width="10.08984375" customWidth="1"/>
    <col min="14" max="14" width="11.7265625" customWidth="1"/>
    <col min="15" max="15" width="11.90625" customWidth="1"/>
    <col min="16" max="16" width="12.81640625" customWidth="1"/>
    <col min="17" max="17" width="12.7265625" customWidth="1"/>
    <col min="18" max="18" width="25" customWidth="1"/>
    <col min="19" max="19" width="19" customWidth="1"/>
    <col min="20" max="20" width="15.90625" customWidth="1"/>
    <col min="21" max="21" width="10.7265625" customWidth="1"/>
    <col min="22" max="22" width="24.08984375" customWidth="1"/>
    <col min="23" max="23" width="14.36328125" customWidth="1"/>
    <col min="24" max="24" width="12.1796875" customWidth="1"/>
    <col min="25" max="25" width="13.1796875" customWidth="1"/>
    <col min="26" max="26" width="13.81640625" bestFit="1" customWidth="1"/>
    <col min="27" max="27" width="13" bestFit="1" customWidth="1"/>
    <col min="28" max="28" width="16.08984375" customWidth="1"/>
    <col min="32" max="32" width="13.6328125" bestFit="1" customWidth="1"/>
    <col min="34" max="34" width="10.08984375" bestFit="1" customWidth="1"/>
  </cols>
  <sheetData>
    <row r="1" spans="1: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2" t="s">
        <v>1050</v>
      </c>
      <c r="Q1" s="3">
        <f>AVERAGE(B2:B1001)</f>
        <v>51.314999999999998</v>
      </c>
      <c r="S1" t="s">
        <v>1053</v>
      </c>
      <c r="T1">
        <f>COUNTIF(D2:D1001,"cardiac")</f>
        <v>128</v>
      </c>
      <c r="V1" t="s">
        <v>1058</v>
      </c>
      <c r="W1">
        <f>COUNTIFS(J1:J1000,"&lt;&gt;None")</f>
        <v>739</v>
      </c>
      <c r="Z1" t="s">
        <v>1060</v>
      </c>
      <c r="AA1" t="s">
        <v>1061</v>
      </c>
      <c r="AB1" t="s">
        <v>1064</v>
      </c>
    </row>
    <row r="2" spans="1:28" x14ac:dyDescent="0.35">
      <c r="A2" t="s">
        <v>14</v>
      </c>
      <c r="B2">
        <v>62</v>
      </c>
      <c r="C2" t="s">
        <v>15</v>
      </c>
      <c r="D2" t="s">
        <v>16</v>
      </c>
      <c r="E2" t="s">
        <v>17</v>
      </c>
      <c r="F2" t="s">
        <v>18</v>
      </c>
      <c r="G2" s="1">
        <v>45409</v>
      </c>
      <c r="H2" s="1">
        <v>45413</v>
      </c>
      <c r="I2" s="4">
        <v>241427</v>
      </c>
      <c r="J2" t="s">
        <v>19</v>
      </c>
      <c r="K2" t="s">
        <v>20</v>
      </c>
      <c r="L2" t="s">
        <v>21</v>
      </c>
      <c r="M2" t="s">
        <v>22</v>
      </c>
      <c r="N2">
        <v>5</v>
      </c>
      <c r="S2" t="s">
        <v>1054</v>
      </c>
      <c r="T2">
        <f>COUNTIF(D2:D1001,"diabetes")</f>
        <v>130</v>
      </c>
      <c r="V2" t="s">
        <v>1059</v>
      </c>
      <c r="W2">
        <f>COUNTIFS(J1:J1000,"=None")</f>
        <v>261</v>
      </c>
      <c r="X2" cm="1">
        <f t="array" ref="X2:X1001">MONTH(G2:G1001)</f>
        <v>4</v>
      </c>
      <c r="Z2" s="4">
        <f>SUM(I2:I1001)</f>
        <v>125383061</v>
      </c>
      <c r="AA2" s="4">
        <f>MEDIAN(I2:I1001)</f>
        <v>124977</v>
      </c>
      <c r="AB2" t="str">
        <f>TEXT(G2,"mmm")</f>
        <v>Apr</v>
      </c>
    </row>
    <row r="3" spans="1:28" x14ac:dyDescent="0.35">
      <c r="A3" t="s">
        <v>23</v>
      </c>
      <c r="B3">
        <v>76</v>
      </c>
      <c r="C3" t="s">
        <v>24</v>
      </c>
      <c r="D3" t="s">
        <v>25</v>
      </c>
      <c r="E3" t="s">
        <v>26</v>
      </c>
      <c r="F3" t="s">
        <v>27</v>
      </c>
      <c r="G3" s="1">
        <v>45917</v>
      </c>
      <c r="H3" s="1">
        <v>45926</v>
      </c>
      <c r="I3" s="4">
        <v>181509</v>
      </c>
      <c r="J3" t="s">
        <v>28</v>
      </c>
      <c r="K3" t="s">
        <v>29</v>
      </c>
      <c r="L3" t="s">
        <v>21</v>
      </c>
      <c r="M3" t="s">
        <v>22</v>
      </c>
      <c r="N3">
        <v>3</v>
      </c>
      <c r="P3" s="2" t="s">
        <v>1051</v>
      </c>
      <c r="Q3">
        <f>MAX(B2:B1001)</f>
        <v>85</v>
      </c>
      <c r="S3" t="s">
        <v>1055</v>
      </c>
      <c r="T3">
        <f>COUNTIF(D2:D1001,"cancer")</f>
        <v>143</v>
      </c>
      <c r="V3" t="s">
        <v>1057</v>
      </c>
      <c r="W3">
        <f>COUNTA(A4:A1003)</f>
        <v>998</v>
      </c>
      <c r="X3">
        <v>9</v>
      </c>
      <c r="AB3" t="str">
        <f t="shared" ref="AB3:AB66" si="0">TEXT(G3,"mmm")</f>
        <v>Sep</v>
      </c>
    </row>
    <row r="4" spans="1:28" x14ac:dyDescent="0.35">
      <c r="A4" t="s">
        <v>30</v>
      </c>
      <c r="B4">
        <v>42</v>
      </c>
      <c r="C4" t="s">
        <v>15</v>
      </c>
      <c r="D4" t="s">
        <v>31</v>
      </c>
      <c r="E4" t="s">
        <v>32</v>
      </c>
      <c r="F4" t="s">
        <v>18</v>
      </c>
      <c r="G4" s="1">
        <v>46016</v>
      </c>
      <c r="H4" s="1">
        <v>46022</v>
      </c>
      <c r="I4" s="4">
        <v>197135</v>
      </c>
      <c r="J4" t="s">
        <v>19</v>
      </c>
      <c r="K4" t="s">
        <v>29</v>
      </c>
      <c r="L4" t="s">
        <v>33</v>
      </c>
      <c r="M4" t="s">
        <v>22</v>
      </c>
      <c r="N4">
        <v>1</v>
      </c>
      <c r="S4" t="s">
        <v>1056</v>
      </c>
      <c r="T4">
        <f>COUNTIFS(D2:D1001,"&lt;&gt;cardiac",D2:D1001,"&lt;&gt;diabetes",D2:D1001,"&lt;&gt;cancer")</f>
        <v>599</v>
      </c>
      <c r="X4">
        <v>12</v>
      </c>
      <c r="AB4" t="str">
        <f t="shared" si="0"/>
        <v>Dec</v>
      </c>
    </row>
    <row r="5" spans="1:28" x14ac:dyDescent="0.35">
      <c r="A5" t="s">
        <v>34</v>
      </c>
      <c r="B5">
        <v>54</v>
      </c>
      <c r="C5" t="s">
        <v>24</v>
      </c>
      <c r="D5" t="s">
        <v>31</v>
      </c>
      <c r="E5" t="s">
        <v>35</v>
      </c>
      <c r="F5" t="s">
        <v>36</v>
      </c>
      <c r="G5" s="1">
        <v>45701</v>
      </c>
      <c r="H5" s="1">
        <v>45711</v>
      </c>
      <c r="I5" s="4">
        <v>214468</v>
      </c>
      <c r="J5" t="s">
        <v>37</v>
      </c>
      <c r="K5" t="s">
        <v>20</v>
      </c>
      <c r="L5" t="s">
        <v>33</v>
      </c>
      <c r="M5" t="s">
        <v>38</v>
      </c>
      <c r="N5">
        <v>3</v>
      </c>
      <c r="P5" s="2" t="s">
        <v>1052</v>
      </c>
      <c r="Q5">
        <f>MIN(B2:B1001)</f>
        <v>18</v>
      </c>
      <c r="X5">
        <v>2</v>
      </c>
      <c r="AB5" t="str">
        <f t="shared" si="0"/>
        <v>Feb</v>
      </c>
    </row>
    <row r="6" spans="1:28" x14ac:dyDescent="0.35">
      <c r="A6" t="s">
        <v>39</v>
      </c>
      <c r="B6">
        <v>74</v>
      </c>
      <c r="C6" t="s">
        <v>15</v>
      </c>
      <c r="D6" t="s">
        <v>16</v>
      </c>
      <c r="E6" t="s">
        <v>40</v>
      </c>
      <c r="F6" t="s">
        <v>41</v>
      </c>
      <c r="G6" s="1">
        <v>45294</v>
      </c>
      <c r="H6" s="1">
        <v>45309</v>
      </c>
      <c r="I6" s="4">
        <v>158741</v>
      </c>
      <c r="J6" t="s">
        <v>28</v>
      </c>
      <c r="K6" t="s">
        <v>42</v>
      </c>
      <c r="L6" t="s">
        <v>43</v>
      </c>
      <c r="M6" t="s">
        <v>22</v>
      </c>
      <c r="N6">
        <v>5</v>
      </c>
      <c r="X6">
        <v>1</v>
      </c>
      <c r="AB6" t="str">
        <f t="shared" si="0"/>
        <v>Jan</v>
      </c>
    </row>
    <row r="7" spans="1:28" x14ac:dyDescent="0.35">
      <c r="A7" t="s">
        <v>44</v>
      </c>
      <c r="B7">
        <v>53</v>
      </c>
      <c r="C7" t="s">
        <v>15</v>
      </c>
      <c r="D7" t="s">
        <v>45</v>
      </c>
      <c r="E7" t="s">
        <v>26</v>
      </c>
      <c r="F7" t="s">
        <v>18</v>
      </c>
      <c r="G7" s="1">
        <v>45420</v>
      </c>
      <c r="H7" s="1">
        <v>45433</v>
      </c>
      <c r="I7" s="4">
        <v>210069</v>
      </c>
      <c r="J7" t="s">
        <v>19</v>
      </c>
      <c r="K7" t="s">
        <v>20</v>
      </c>
      <c r="L7" t="s">
        <v>46</v>
      </c>
      <c r="M7" t="s">
        <v>22</v>
      </c>
      <c r="N7">
        <v>3</v>
      </c>
      <c r="X7">
        <v>5</v>
      </c>
      <c r="AB7" t="str">
        <f t="shared" si="0"/>
        <v>May</v>
      </c>
    </row>
    <row r="8" spans="1:28" x14ac:dyDescent="0.35">
      <c r="A8" t="s">
        <v>47</v>
      </c>
      <c r="B8">
        <v>35</v>
      </c>
      <c r="C8" t="s">
        <v>24</v>
      </c>
      <c r="D8" t="s">
        <v>31</v>
      </c>
      <c r="E8" t="s">
        <v>17</v>
      </c>
      <c r="F8" t="s">
        <v>41</v>
      </c>
      <c r="G8" s="1">
        <v>45793</v>
      </c>
      <c r="H8" s="1">
        <v>45812</v>
      </c>
      <c r="I8" s="4">
        <v>60975</v>
      </c>
      <c r="J8" t="s">
        <v>19</v>
      </c>
      <c r="K8" t="s">
        <v>20</v>
      </c>
      <c r="L8" t="s">
        <v>48</v>
      </c>
      <c r="M8" t="s">
        <v>38</v>
      </c>
      <c r="N8">
        <v>3</v>
      </c>
      <c r="P8">
        <f>COUNTIF(M2:M1001,"Recovered")</f>
        <v>328</v>
      </c>
      <c r="X8">
        <v>5</v>
      </c>
      <c r="AB8" t="str">
        <f t="shared" si="0"/>
        <v>May</v>
      </c>
    </row>
    <row r="9" spans="1:28" x14ac:dyDescent="0.35">
      <c r="A9" t="s">
        <v>49</v>
      </c>
      <c r="B9">
        <v>63</v>
      </c>
      <c r="C9" t="s">
        <v>24</v>
      </c>
      <c r="D9" t="s">
        <v>50</v>
      </c>
      <c r="E9" t="s">
        <v>51</v>
      </c>
      <c r="F9" t="s">
        <v>27</v>
      </c>
      <c r="G9" s="1">
        <v>45973</v>
      </c>
      <c r="H9" s="1">
        <v>45987</v>
      </c>
      <c r="I9" s="4">
        <v>58206</v>
      </c>
      <c r="J9" t="s">
        <v>19</v>
      </c>
      <c r="K9" t="s">
        <v>20</v>
      </c>
      <c r="L9" t="s">
        <v>48</v>
      </c>
      <c r="M9" t="s">
        <v>22</v>
      </c>
      <c r="N9">
        <v>2</v>
      </c>
      <c r="X9">
        <v>11</v>
      </c>
      <c r="AB9" t="str">
        <f t="shared" si="0"/>
        <v>Nov</v>
      </c>
    </row>
    <row r="10" spans="1:28" x14ac:dyDescent="0.35">
      <c r="A10" t="s">
        <v>52</v>
      </c>
      <c r="B10">
        <v>56</v>
      </c>
      <c r="C10" t="s">
        <v>15</v>
      </c>
      <c r="D10" t="s">
        <v>53</v>
      </c>
      <c r="E10" t="s">
        <v>17</v>
      </c>
      <c r="F10" t="s">
        <v>36</v>
      </c>
      <c r="G10" s="1">
        <v>45648</v>
      </c>
      <c r="H10" s="1">
        <v>45653</v>
      </c>
      <c r="I10" s="4">
        <v>108460</v>
      </c>
      <c r="J10" t="s">
        <v>28</v>
      </c>
      <c r="K10" t="s">
        <v>20</v>
      </c>
      <c r="L10" t="s">
        <v>43</v>
      </c>
      <c r="M10" t="s">
        <v>38</v>
      </c>
      <c r="N10">
        <v>5</v>
      </c>
      <c r="X10">
        <v>12</v>
      </c>
      <c r="AB10" t="str">
        <f t="shared" si="0"/>
        <v>Dec</v>
      </c>
    </row>
    <row r="11" spans="1:28" x14ac:dyDescent="0.35">
      <c r="A11" t="s">
        <v>54</v>
      </c>
      <c r="B11">
        <v>26</v>
      </c>
      <c r="C11" t="s">
        <v>24</v>
      </c>
      <c r="D11" t="s">
        <v>16</v>
      </c>
      <c r="E11" t="s">
        <v>17</v>
      </c>
      <c r="F11" t="s">
        <v>41</v>
      </c>
      <c r="G11" s="1">
        <v>45649</v>
      </c>
      <c r="H11" s="1">
        <v>45660</v>
      </c>
      <c r="I11" s="4">
        <v>221018</v>
      </c>
      <c r="J11" t="s">
        <v>19</v>
      </c>
      <c r="K11" t="s">
        <v>29</v>
      </c>
      <c r="L11" t="s">
        <v>46</v>
      </c>
      <c r="M11" t="s">
        <v>22</v>
      </c>
      <c r="N11">
        <v>4</v>
      </c>
      <c r="X11">
        <v>12</v>
      </c>
      <c r="AB11" t="str">
        <f t="shared" si="0"/>
        <v>Dec</v>
      </c>
    </row>
    <row r="12" spans="1:28" x14ac:dyDescent="0.35">
      <c r="A12" t="s">
        <v>55</v>
      </c>
      <c r="B12">
        <v>77</v>
      </c>
      <c r="C12" t="s">
        <v>15</v>
      </c>
      <c r="D12" t="s">
        <v>50</v>
      </c>
      <c r="E12" t="s">
        <v>17</v>
      </c>
      <c r="F12" t="s">
        <v>56</v>
      </c>
      <c r="G12" s="1">
        <v>45561</v>
      </c>
      <c r="H12" s="1">
        <v>45575</v>
      </c>
      <c r="I12" s="4">
        <v>156581</v>
      </c>
      <c r="J12" t="s">
        <v>28</v>
      </c>
      <c r="K12" t="s">
        <v>42</v>
      </c>
      <c r="L12" t="s">
        <v>48</v>
      </c>
      <c r="M12" t="s">
        <v>38</v>
      </c>
      <c r="N12">
        <v>3</v>
      </c>
      <c r="X12">
        <v>9</v>
      </c>
      <c r="AB12" t="str">
        <f t="shared" si="0"/>
        <v>Sep</v>
      </c>
    </row>
    <row r="13" spans="1:28" x14ac:dyDescent="0.35">
      <c r="A13" t="s">
        <v>57</v>
      </c>
      <c r="B13">
        <v>62</v>
      </c>
      <c r="C13" t="s">
        <v>15</v>
      </c>
      <c r="D13" t="s">
        <v>58</v>
      </c>
      <c r="E13" t="s">
        <v>26</v>
      </c>
      <c r="F13" t="s">
        <v>56</v>
      </c>
      <c r="G13" s="1">
        <v>45762</v>
      </c>
      <c r="H13" s="1">
        <v>45763</v>
      </c>
      <c r="I13" s="4">
        <v>181788</v>
      </c>
      <c r="J13" t="s">
        <v>28</v>
      </c>
      <c r="K13" t="s">
        <v>42</v>
      </c>
      <c r="L13" t="s">
        <v>43</v>
      </c>
      <c r="M13" t="s">
        <v>22</v>
      </c>
      <c r="N13">
        <v>2</v>
      </c>
      <c r="X13">
        <v>4</v>
      </c>
      <c r="AB13" t="str">
        <f t="shared" si="0"/>
        <v>Apr</v>
      </c>
    </row>
    <row r="14" spans="1:28" x14ac:dyDescent="0.35">
      <c r="A14" t="s">
        <v>59</v>
      </c>
      <c r="B14">
        <v>26</v>
      </c>
      <c r="C14" t="s">
        <v>24</v>
      </c>
      <c r="D14" t="s">
        <v>16</v>
      </c>
      <c r="E14" t="s">
        <v>51</v>
      </c>
      <c r="F14" t="s">
        <v>18</v>
      </c>
      <c r="G14" s="1">
        <v>45499</v>
      </c>
      <c r="H14" s="1">
        <v>45506</v>
      </c>
      <c r="I14" s="4">
        <v>26559</v>
      </c>
      <c r="J14" t="s">
        <v>19</v>
      </c>
      <c r="K14" t="s">
        <v>42</v>
      </c>
      <c r="L14" t="s">
        <v>46</v>
      </c>
      <c r="M14" t="s">
        <v>38</v>
      </c>
      <c r="N14">
        <v>4</v>
      </c>
      <c r="X14">
        <v>7</v>
      </c>
      <c r="AB14" t="str">
        <f t="shared" si="0"/>
        <v>Jul</v>
      </c>
    </row>
    <row r="15" spans="1:28" x14ac:dyDescent="0.35">
      <c r="A15" t="s">
        <v>60</v>
      </c>
      <c r="B15">
        <v>37</v>
      </c>
      <c r="C15" t="s">
        <v>15</v>
      </c>
      <c r="D15" t="s">
        <v>58</v>
      </c>
      <c r="E15" t="s">
        <v>51</v>
      </c>
      <c r="F15" t="s">
        <v>56</v>
      </c>
      <c r="G15" s="1">
        <v>45496</v>
      </c>
      <c r="H15" s="1">
        <v>45511</v>
      </c>
      <c r="I15" s="4">
        <v>37951</v>
      </c>
      <c r="J15" t="s">
        <v>61</v>
      </c>
      <c r="K15" t="s">
        <v>20</v>
      </c>
      <c r="L15" t="s">
        <v>48</v>
      </c>
      <c r="M15" t="s">
        <v>38</v>
      </c>
      <c r="N15">
        <v>4</v>
      </c>
      <c r="X15">
        <v>7</v>
      </c>
      <c r="AB15" t="str">
        <f t="shared" si="0"/>
        <v>Jul</v>
      </c>
    </row>
    <row r="16" spans="1:28" x14ac:dyDescent="0.35">
      <c r="A16" t="s">
        <v>62</v>
      </c>
      <c r="B16">
        <v>24</v>
      </c>
      <c r="C16" t="s">
        <v>24</v>
      </c>
      <c r="D16" t="s">
        <v>25</v>
      </c>
      <c r="E16" t="s">
        <v>26</v>
      </c>
      <c r="F16" t="s">
        <v>36</v>
      </c>
      <c r="G16" s="1">
        <v>45338</v>
      </c>
      <c r="H16" s="1">
        <v>45339</v>
      </c>
      <c r="I16" s="4">
        <v>128687</v>
      </c>
      <c r="J16" t="s">
        <v>28</v>
      </c>
      <c r="K16" t="s">
        <v>63</v>
      </c>
      <c r="L16" t="s">
        <v>43</v>
      </c>
      <c r="M16" t="s">
        <v>64</v>
      </c>
      <c r="N16">
        <v>2</v>
      </c>
      <c r="X16">
        <v>2</v>
      </c>
      <c r="AB16" t="str">
        <f t="shared" si="0"/>
        <v>Feb</v>
      </c>
    </row>
    <row r="17" spans="1:28" x14ac:dyDescent="0.35">
      <c r="A17" t="s">
        <v>65</v>
      </c>
      <c r="B17">
        <v>53</v>
      </c>
      <c r="C17" t="s">
        <v>15</v>
      </c>
      <c r="D17" t="s">
        <v>58</v>
      </c>
      <c r="E17" t="s">
        <v>17</v>
      </c>
      <c r="F17" t="s">
        <v>41</v>
      </c>
      <c r="G17" s="1">
        <v>45417</v>
      </c>
      <c r="H17" s="1">
        <v>45423</v>
      </c>
      <c r="I17" s="4">
        <v>182464</v>
      </c>
      <c r="J17" t="s">
        <v>61</v>
      </c>
      <c r="K17" t="s">
        <v>63</v>
      </c>
      <c r="L17" t="s">
        <v>43</v>
      </c>
      <c r="M17" t="s">
        <v>64</v>
      </c>
      <c r="N17">
        <v>5</v>
      </c>
      <c r="X17">
        <v>5</v>
      </c>
      <c r="AB17" t="str">
        <f t="shared" si="0"/>
        <v>May</v>
      </c>
    </row>
    <row r="18" spans="1:28" x14ac:dyDescent="0.35">
      <c r="A18" t="s">
        <v>66</v>
      </c>
      <c r="B18">
        <v>40</v>
      </c>
      <c r="C18" t="s">
        <v>24</v>
      </c>
      <c r="D18" t="s">
        <v>25</v>
      </c>
      <c r="E18" t="s">
        <v>26</v>
      </c>
      <c r="F18" t="s">
        <v>27</v>
      </c>
      <c r="G18" s="1">
        <v>45963</v>
      </c>
      <c r="H18" s="1">
        <v>45967</v>
      </c>
      <c r="I18" s="4">
        <v>224069</v>
      </c>
      <c r="J18" t="s">
        <v>37</v>
      </c>
      <c r="K18" t="s">
        <v>42</v>
      </c>
      <c r="L18" t="s">
        <v>21</v>
      </c>
      <c r="M18" t="s">
        <v>38</v>
      </c>
      <c r="N18">
        <v>4</v>
      </c>
      <c r="X18">
        <v>11</v>
      </c>
      <c r="AB18" t="str">
        <f t="shared" si="0"/>
        <v>Nov</v>
      </c>
    </row>
    <row r="19" spans="1:28" x14ac:dyDescent="0.35">
      <c r="A19" t="s">
        <v>67</v>
      </c>
      <c r="B19">
        <v>77</v>
      </c>
      <c r="C19" t="s">
        <v>15</v>
      </c>
      <c r="D19" t="s">
        <v>45</v>
      </c>
      <c r="E19" t="s">
        <v>32</v>
      </c>
      <c r="F19" t="s">
        <v>41</v>
      </c>
      <c r="G19" s="1">
        <v>45609</v>
      </c>
      <c r="H19" s="1">
        <v>45610</v>
      </c>
      <c r="I19" s="4">
        <v>172896</v>
      </c>
      <c r="J19" t="s">
        <v>61</v>
      </c>
      <c r="K19" t="s">
        <v>29</v>
      </c>
      <c r="L19" t="s">
        <v>48</v>
      </c>
      <c r="M19" t="s">
        <v>38</v>
      </c>
      <c r="N19">
        <v>2</v>
      </c>
      <c r="X19">
        <v>11</v>
      </c>
      <c r="AB19" t="str">
        <f t="shared" si="0"/>
        <v>Nov</v>
      </c>
    </row>
    <row r="20" spans="1:28" x14ac:dyDescent="0.35">
      <c r="A20" t="s">
        <v>68</v>
      </c>
      <c r="B20">
        <v>73</v>
      </c>
      <c r="C20" t="s">
        <v>15</v>
      </c>
      <c r="D20" t="s">
        <v>16</v>
      </c>
      <c r="E20" t="s">
        <v>51</v>
      </c>
      <c r="F20" t="s">
        <v>41</v>
      </c>
      <c r="G20" s="1">
        <v>45933</v>
      </c>
      <c r="H20" s="1">
        <v>45945</v>
      </c>
      <c r="I20" s="4">
        <v>167948</v>
      </c>
      <c r="J20" t="s">
        <v>19</v>
      </c>
      <c r="K20" t="s">
        <v>29</v>
      </c>
      <c r="L20" t="s">
        <v>43</v>
      </c>
      <c r="M20" t="s">
        <v>64</v>
      </c>
      <c r="N20">
        <v>2</v>
      </c>
      <c r="X20">
        <v>10</v>
      </c>
      <c r="AB20" t="str">
        <f t="shared" si="0"/>
        <v>Oct</v>
      </c>
    </row>
    <row r="21" spans="1:28" x14ac:dyDescent="0.35">
      <c r="A21" t="s">
        <v>69</v>
      </c>
      <c r="B21">
        <v>63</v>
      </c>
      <c r="C21" t="s">
        <v>24</v>
      </c>
      <c r="D21" t="s">
        <v>53</v>
      </c>
      <c r="E21" t="s">
        <v>26</v>
      </c>
      <c r="F21" t="s">
        <v>36</v>
      </c>
      <c r="G21" s="1">
        <v>45901</v>
      </c>
      <c r="H21" s="1">
        <v>45910</v>
      </c>
      <c r="I21" s="4">
        <v>118480</v>
      </c>
      <c r="J21" t="s">
        <v>19</v>
      </c>
      <c r="K21" t="s">
        <v>29</v>
      </c>
      <c r="L21" t="s">
        <v>48</v>
      </c>
      <c r="M21" t="s">
        <v>22</v>
      </c>
      <c r="N21">
        <v>1</v>
      </c>
      <c r="X21">
        <v>9</v>
      </c>
      <c r="AB21" t="str">
        <f t="shared" si="0"/>
        <v>Sep</v>
      </c>
    </row>
    <row r="22" spans="1:28" x14ac:dyDescent="0.35">
      <c r="A22" t="s">
        <v>70</v>
      </c>
      <c r="B22">
        <v>30</v>
      </c>
      <c r="C22" t="s">
        <v>15</v>
      </c>
      <c r="D22" t="s">
        <v>31</v>
      </c>
      <c r="E22" t="s">
        <v>35</v>
      </c>
      <c r="F22" t="s">
        <v>27</v>
      </c>
      <c r="G22" s="1">
        <v>45857</v>
      </c>
      <c r="H22" s="1">
        <v>45868</v>
      </c>
      <c r="I22" s="4">
        <v>173147</v>
      </c>
      <c r="J22" t="s">
        <v>19</v>
      </c>
      <c r="K22" t="s">
        <v>63</v>
      </c>
      <c r="L22" t="s">
        <v>48</v>
      </c>
      <c r="M22" t="s">
        <v>22</v>
      </c>
      <c r="N22">
        <v>5</v>
      </c>
      <c r="X22">
        <v>7</v>
      </c>
      <c r="AB22" t="str">
        <f t="shared" si="0"/>
        <v>Jul</v>
      </c>
    </row>
    <row r="23" spans="1:28" x14ac:dyDescent="0.35">
      <c r="A23" t="s">
        <v>71</v>
      </c>
      <c r="B23">
        <v>52</v>
      </c>
      <c r="C23" t="s">
        <v>24</v>
      </c>
      <c r="D23" t="s">
        <v>53</v>
      </c>
      <c r="E23" t="s">
        <v>26</v>
      </c>
      <c r="F23" t="s">
        <v>27</v>
      </c>
      <c r="G23" s="1">
        <v>45402</v>
      </c>
      <c r="H23" s="1">
        <v>45420</v>
      </c>
      <c r="I23" s="4">
        <v>30702</v>
      </c>
      <c r="J23" t="s">
        <v>61</v>
      </c>
      <c r="K23" t="s">
        <v>20</v>
      </c>
      <c r="L23" t="s">
        <v>21</v>
      </c>
      <c r="M23" t="s">
        <v>38</v>
      </c>
      <c r="N23">
        <v>1</v>
      </c>
      <c r="X23">
        <v>4</v>
      </c>
      <c r="AB23" t="str">
        <f t="shared" si="0"/>
        <v>Apr</v>
      </c>
    </row>
    <row r="24" spans="1:28" x14ac:dyDescent="0.35">
      <c r="A24" t="s">
        <v>72</v>
      </c>
      <c r="B24">
        <v>52</v>
      </c>
      <c r="C24" t="s">
        <v>24</v>
      </c>
      <c r="D24" t="s">
        <v>16</v>
      </c>
      <c r="E24" t="s">
        <v>40</v>
      </c>
      <c r="F24" t="s">
        <v>41</v>
      </c>
      <c r="G24" s="1">
        <v>45337</v>
      </c>
      <c r="H24" s="1">
        <v>45357</v>
      </c>
      <c r="I24" s="4">
        <v>143554</v>
      </c>
      <c r="J24" t="s">
        <v>37</v>
      </c>
      <c r="K24" t="s">
        <v>63</v>
      </c>
      <c r="L24" t="s">
        <v>46</v>
      </c>
      <c r="M24" t="s">
        <v>38</v>
      </c>
      <c r="N24">
        <v>3</v>
      </c>
      <c r="X24">
        <v>2</v>
      </c>
      <c r="AB24" t="str">
        <f t="shared" si="0"/>
        <v>Feb</v>
      </c>
    </row>
    <row r="25" spans="1:28" x14ac:dyDescent="0.35">
      <c r="A25" t="s">
        <v>73</v>
      </c>
      <c r="B25">
        <v>28</v>
      </c>
      <c r="C25" t="s">
        <v>24</v>
      </c>
      <c r="D25" t="s">
        <v>53</v>
      </c>
      <c r="E25" t="s">
        <v>51</v>
      </c>
      <c r="F25" t="s">
        <v>18</v>
      </c>
      <c r="G25" s="1">
        <v>45374</v>
      </c>
      <c r="H25" s="1">
        <v>45375</v>
      </c>
      <c r="I25" s="4">
        <v>248306</v>
      </c>
      <c r="J25" t="s">
        <v>28</v>
      </c>
      <c r="K25" t="s">
        <v>63</v>
      </c>
      <c r="L25" t="s">
        <v>43</v>
      </c>
      <c r="M25" t="s">
        <v>64</v>
      </c>
      <c r="N25">
        <v>5</v>
      </c>
      <c r="X25">
        <v>3</v>
      </c>
      <c r="AB25" t="str">
        <f t="shared" si="0"/>
        <v>Mar</v>
      </c>
    </row>
    <row r="26" spans="1:28" x14ac:dyDescent="0.35">
      <c r="A26" t="s">
        <v>74</v>
      </c>
      <c r="B26">
        <v>40</v>
      </c>
      <c r="C26" t="s">
        <v>24</v>
      </c>
      <c r="D26" t="s">
        <v>31</v>
      </c>
      <c r="E26" t="s">
        <v>35</v>
      </c>
      <c r="F26" t="s">
        <v>27</v>
      </c>
      <c r="G26" s="1">
        <v>46018</v>
      </c>
      <c r="H26" s="1">
        <v>46025</v>
      </c>
      <c r="I26" s="4">
        <v>227657</v>
      </c>
      <c r="J26" t="s">
        <v>37</v>
      </c>
      <c r="K26" t="s">
        <v>63</v>
      </c>
      <c r="L26" t="s">
        <v>43</v>
      </c>
      <c r="M26" t="s">
        <v>64</v>
      </c>
      <c r="N26">
        <v>5</v>
      </c>
      <c r="X26">
        <v>12</v>
      </c>
      <c r="AB26" t="str">
        <f t="shared" si="0"/>
        <v>Dec</v>
      </c>
    </row>
    <row r="27" spans="1:28" x14ac:dyDescent="0.35">
      <c r="A27" t="s">
        <v>75</v>
      </c>
      <c r="B27">
        <v>85</v>
      </c>
      <c r="C27" t="s">
        <v>15</v>
      </c>
      <c r="D27" t="s">
        <v>16</v>
      </c>
      <c r="E27" t="s">
        <v>35</v>
      </c>
      <c r="F27" t="s">
        <v>36</v>
      </c>
      <c r="G27" s="1">
        <v>45507</v>
      </c>
      <c r="H27" s="1">
        <v>45508</v>
      </c>
      <c r="I27" s="4">
        <v>158912</v>
      </c>
      <c r="J27" t="s">
        <v>61</v>
      </c>
      <c r="K27" t="s">
        <v>42</v>
      </c>
      <c r="L27" t="s">
        <v>46</v>
      </c>
      <c r="M27" t="s">
        <v>22</v>
      </c>
      <c r="N27">
        <v>3</v>
      </c>
      <c r="X27">
        <v>8</v>
      </c>
      <c r="AB27" t="str">
        <f t="shared" si="0"/>
        <v>Aug</v>
      </c>
    </row>
    <row r="28" spans="1:28" x14ac:dyDescent="0.35">
      <c r="A28" t="s">
        <v>76</v>
      </c>
      <c r="B28">
        <v>43</v>
      </c>
      <c r="C28" t="s">
        <v>24</v>
      </c>
      <c r="D28" t="s">
        <v>50</v>
      </c>
      <c r="E28" t="s">
        <v>51</v>
      </c>
      <c r="F28" t="s">
        <v>41</v>
      </c>
      <c r="G28" s="1">
        <v>45378</v>
      </c>
      <c r="H28" s="1">
        <v>45390</v>
      </c>
      <c r="I28" s="4">
        <v>74371</v>
      </c>
      <c r="J28" t="s">
        <v>61</v>
      </c>
      <c r="K28" t="s">
        <v>63</v>
      </c>
      <c r="L28" t="s">
        <v>21</v>
      </c>
      <c r="M28" t="s">
        <v>22</v>
      </c>
      <c r="N28">
        <v>3</v>
      </c>
      <c r="X28">
        <v>3</v>
      </c>
      <c r="AB28" t="str">
        <f t="shared" si="0"/>
        <v>Mar</v>
      </c>
    </row>
    <row r="29" spans="1:28" x14ac:dyDescent="0.35">
      <c r="A29" t="s">
        <v>77</v>
      </c>
      <c r="B29">
        <v>42</v>
      </c>
      <c r="C29" t="s">
        <v>24</v>
      </c>
      <c r="D29" t="s">
        <v>58</v>
      </c>
      <c r="E29" t="s">
        <v>51</v>
      </c>
      <c r="F29" t="s">
        <v>36</v>
      </c>
      <c r="G29" s="1">
        <v>45552</v>
      </c>
      <c r="H29" s="1">
        <v>45567</v>
      </c>
      <c r="I29" s="4">
        <v>51551</v>
      </c>
      <c r="J29" t="s">
        <v>28</v>
      </c>
      <c r="K29" t="s">
        <v>20</v>
      </c>
      <c r="L29" t="s">
        <v>21</v>
      </c>
      <c r="M29" t="s">
        <v>64</v>
      </c>
      <c r="N29">
        <v>4</v>
      </c>
      <c r="X29">
        <v>9</v>
      </c>
      <c r="AB29" t="str">
        <f t="shared" si="0"/>
        <v>Sep</v>
      </c>
    </row>
    <row r="30" spans="1:28" x14ac:dyDescent="0.35">
      <c r="A30" t="s">
        <v>78</v>
      </c>
      <c r="B30">
        <v>30</v>
      </c>
      <c r="C30" t="s">
        <v>24</v>
      </c>
      <c r="D30" t="s">
        <v>58</v>
      </c>
      <c r="E30" t="s">
        <v>51</v>
      </c>
      <c r="F30" t="s">
        <v>18</v>
      </c>
      <c r="G30" s="1">
        <v>45840</v>
      </c>
      <c r="H30" s="1">
        <v>45855</v>
      </c>
      <c r="I30" s="4">
        <v>177627</v>
      </c>
      <c r="J30" t="s">
        <v>61</v>
      </c>
      <c r="K30" t="s">
        <v>29</v>
      </c>
      <c r="L30" t="s">
        <v>43</v>
      </c>
      <c r="M30" t="s">
        <v>38</v>
      </c>
      <c r="N30">
        <v>4</v>
      </c>
      <c r="X30">
        <v>7</v>
      </c>
      <c r="AB30" t="str">
        <f t="shared" si="0"/>
        <v>Jul</v>
      </c>
    </row>
    <row r="31" spans="1:28" x14ac:dyDescent="0.35">
      <c r="A31" t="s">
        <v>79</v>
      </c>
      <c r="B31">
        <v>66</v>
      </c>
      <c r="C31" t="s">
        <v>24</v>
      </c>
      <c r="D31" t="s">
        <v>53</v>
      </c>
      <c r="E31" t="s">
        <v>17</v>
      </c>
      <c r="F31" t="s">
        <v>27</v>
      </c>
      <c r="G31" s="1">
        <v>45994</v>
      </c>
      <c r="H31" s="1">
        <v>46008</v>
      </c>
      <c r="I31" s="4">
        <v>165074</v>
      </c>
      <c r="J31" t="s">
        <v>37</v>
      </c>
      <c r="K31" t="s">
        <v>20</v>
      </c>
      <c r="L31" t="s">
        <v>48</v>
      </c>
      <c r="M31" t="s">
        <v>38</v>
      </c>
      <c r="N31">
        <v>4</v>
      </c>
      <c r="X31">
        <v>12</v>
      </c>
      <c r="AB31" t="str">
        <f t="shared" si="0"/>
        <v>Dec</v>
      </c>
    </row>
    <row r="32" spans="1:28" x14ac:dyDescent="0.35">
      <c r="A32" t="s">
        <v>80</v>
      </c>
      <c r="B32">
        <v>20</v>
      </c>
      <c r="C32" t="s">
        <v>15</v>
      </c>
      <c r="D32" t="s">
        <v>16</v>
      </c>
      <c r="E32" t="s">
        <v>32</v>
      </c>
      <c r="F32" t="s">
        <v>41</v>
      </c>
      <c r="G32" s="1">
        <v>45615</v>
      </c>
      <c r="H32" s="1">
        <v>45632</v>
      </c>
      <c r="I32" s="4">
        <v>81355</v>
      </c>
      <c r="J32" t="s">
        <v>61</v>
      </c>
      <c r="K32" t="s">
        <v>29</v>
      </c>
      <c r="L32" t="s">
        <v>33</v>
      </c>
      <c r="M32" t="s">
        <v>64</v>
      </c>
      <c r="N32">
        <v>2</v>
      </c>
      <c r="X32">
        <v>11</v>
      </c>
      <c r="AB32" t="str">
        <f t="shared" si="0"/>
        <v>Nov</v>
      </c>
    </row>
    <row r="33" spans="1:28" x14ac:dyDescent="0.35">
      <c r="A33" t="s">
        <v>81</v>
      </c>
      <c r="B33">
        <v>44</v>
      </c>
      <c r="C33" t="s">
        <v>24</v>
      </c>
      <c r="D33" t="s">
        <v>25</v>
      </c>
      <c r="E33" t="s">
        <v>51</v>
      </c>
      <c r="F33" t="s">
        <v>36</v>
      </c>
      <c r="G33" s="1">
        <v>45570</v>
      </c>
      <c r="H33" s="1">
        <v>45586</v>
      </c>
      <c r="I33" s="4">
        <v>221244</v>
      </c>
      <c r="J33" t="s">
        <v>28</v>
      </c>
      <c r="K33" t="s">
        <v>42</v>
      </c>
      <c r="L33" t="s">
        <v>33</v>
      </c>
      <c r="M33" t="s">
        <v>22</v>
      </c>
      <c r="N33">
        <v>4</v>
      </c>
      <c r="X33">
        <v>10</v>
      </c>
      <c r="AB33" t="str">
        <f t="shared" si="0"/>
        <v>Oct</v>
      </c>
    </row>
    <row r="34" spans="1:28" x14ac:dyDescent="0.35">
      <c r="A34" t="s">
        <v>82</v>
      </c>
      <c r="B34">
        <v>84</v>
      </c>
      <c r="C34" t="s">
        <v>24</v>
      </c>
      <c r="D34" t="s">
        <v>25</v>
      </c>
      <c r="E34" t="s">
        <v>35</v>
      </c>
      <c r="F34" t="s">
        <v>27</v>
      </c>
      <c r="G34" s="1">
        <v>46008</v>
      </c>
      <c r="H34" s="1">
        <v>46009</v>
      </c>
      <c r="I34" s="4">
        <v>243245</v>
      </c>
      <c r="J34" t="s">
        <v>37</v>
      </c>
      <c r="K34" t="s">
        <v>20</v>
      </c>
      <c r="L34" t="s">
        <v>46</v>
      </c>
      <c r="M34" t="s">
        <v>22</v>
      </c>
      <c r="N34">
        <v>1</v>
      </c>
      <c r="X34">
        <v>12</v>
      </c>
      <c r="AB34" t="str">
        <f t="shared" si="0"/>
        <v>Dec</v>
      </c>
    </row>
    <row r="35" spans="1:28" x14ac:dyDescent="0.35">
      <c r="A35" t="s">
        <v>83</v>
      </c>
      <c r="B35">
        <v>46</v>
      </c>
      <c r="C35" t="s">
        <v>15</v>
      </c>
      <c r="D35" t="s">
        <v>16</v>
      </c>
      <c r="E35" t="s">
        <v>32</v>
      </c>
      <c r="F35" t="s">
        <v>18</v>
      </c>
      <c r="G35" s="1">
        <v>45500</v>
      </c>
      <c r="H35" s="1">
        <v>45502</v>
      </c>
      <c r="I35" s="4">
        <v>133732</v>
      </c>
      <c r="J35" t="s">
        <v>37</v>
      </c>
      <c r="K35" t="s">
        <v>63</v>
      </c>
      <c r="L35" t="s">
        <v>48</v>
      </c>
      <c r="M35" t="s">
        <v>22</v>
      </c>
      <c r="N35">
        <v>5</v>
      </c>
      <c r="X35">
        <v>7</v>
      </c>
      <c r="AB35" t="str">
        <f t="shared" si="0"/>
        <v>Jul</v>
      </c>
    </row>
    <row r="36" spans="1:28" x14ac:dyDescent="0.35">
      <c r="A36" t="s">
        <v>84</v>
      </c>
      <c r="B36">
        <v>50</v>
      </c>
      <c r="C36" t="s">
        <v>15</v>
      </c>
      <c r="D36" t="s">
        <v>50</v>
      </c>
      <c r="E36" t="s">
        <v>51</v>
      </c>
      <c r="F36" t="s">
        <v>27</v>
      </c>
      <c r="G36" s="1">
        <v>45900</v>
      </c>
      <c r="H36" s="1">
        <v>45902</v>
      </c>
      <c r="I36" s="4">
        <v>61245</v>
      </c>
      <c r="J36" t="s">
        <v>19</v>
      </c>
      <c r="K36" t="s">
        <v>63</v>
      </c>
      <c r="L36" t="s">
        <v>21</v>
      </c>
      <c r="M36" t="s">
        <v>22</v>
      </c>
      <c r="N36">
        <v>3</v>
      </c>
      <c r="X36">
        <v>8</v>
      </c>
      <c r="AB36" t="str">
        <f t="shared" si="0"/>
        <v>Aug</v>
      </c>
    </row>
    <row r="37" spans="1:28" x14ac:dyDescent="0.35">
      <c r="A37" t="s">
        <v>85</v>
      </c>
      <c r="B37">
        <v>69</v>
      </c>
      <c r="C37" t="s">
        <v>15</v>
      </c>
      <c r="D37" t="s">
        <v>58</v>
      </c>
      <c r="E37" t="s">
        <v>26</v>
      </c>
      <c r="F37" t="s">
        <v>56</v>
      </c>
      <c r="G37" s="1">
        <v>45801</v>
      </c>
      <c r="H37" s="1">
        <v>45821</v>
      </c>
      <c r="I37" s="4">
        <v>215635</v>
      </c>
      <c r="J37" t="s">
        <v>19</v>
      </c>
      <c r="K37" t="s">
        <v>63</v>
      </c>
      <c r="L37" t="s">
        <v>43</v>
      </c>
      <c r="M37" t="s">
        <v>22</v>
      </c>
      <c r="N37">
        <v>1</v>
      </c>
      <c r="X37">
        <v>5</v>
      </c>
      <c r="AB37" t="str">
        <f t="shared" si="0"/>
        <v>May</v>
      </c>
    </row>
    <row r="38" spans="1:28" x14ac:dyDescent="0.35">
      <c r="A38" t="s">
        <v>86</v>
      </c>
      <c r="B38">
        <v>70</v>
      </c>
      <c r="C38" t="s">
        <v>24</v>
      </c>
      <c r="D38" t="s">
        <v>53</v>
      </c>
      <c r="E38" t="s">
        <v>51</v>
      </c>
      <c r="F38" t="s">
        <v>56</v>
      </c>
      <c r="G38" s="1">
        <v>45689</v>
      </c>
      <c r="H38" s="1">
        <v>45692</v>
      </c>
      <c r="I38" s="4">
        <v>179932</v>
      </c>
      <c r="J38" t="s">
        <v>61</v>
      </c>
      <c r="K38" t="s">
        <v>63</v>
      </c>
      <c r="L38" t="s">
        <v>33</v>
      </c>
      <c r="M38" t="s">
        <v>38</v>
      </c>
      <c r="N38">
        <v>4</v>
      </c>
      <c r="X38">
        <v>2</v>
      </c>
      <c r="AB38" t="str">
        <f t="shared" si="0"/>
        <v>Feb</v>
      </c>
    </row>
    <row r="39" spans="1:28" x14ac:dyDescent="0.35">
      <c r="A39" t="s">
        <v>87</v>
      </c>
      <c r="B39">
        <v>19</v>
      </c>
      <c r="C39" t="s">
        <v>24</v>
      </c>
      <c r="D39" t="s">
        <v>25</v>
      </c>
      <c r="E39" t="s">
        <v>26</v>
      </c>
      <c r="F39" t="s">
        <v>18</v>
      </c>
      <c r="G39" s="1">
        <v>45845</v>
      </c>
      <c r="H39" s="1">
        <v>45853</v>
      </c>
      <c r="I39" s="4">
        <v>125827</v>
      </c>
      <c r="J39" t="s">
        <v>61</v>
      </c>
      <c r="K39" t="s">
        <v>20</v>
      </c>
      <c r="L39" t="s">
        <v>48</v>
      </c>
      <c r="M39" t="s">
        <v>22</v>
      </c>
      <c r="N39">
        <v>1</v>
      </c>
      <c r="X39">
        <v>7</v>
      </c>
      <c r="AB39" t="str">
        <f t="shared" si="0"/>
        <v>Jul</v>
      </c>
    </row>
    <row r="40" spans="1:28" x14ac:dyDescent="0.35">
      <c r="A40" t="s">
        <v>88</v>
      </c>
      <c r="B40">
        <v>80</v>
      </c>
      <c r="C40" t="s">
        <v>15</v>
      </c>
      <c r="D40" t="s">
        <v>58</v>
      </c>
      <c r="E40" t="s">
        <v>51</v>
      </c>
      <c r="F40" t="s">
        <v>18</v>
      </c>
      <c r="G40" s="1">
        <v>45432</v>
      </c>
      <c r="H40" s="1">
        <v>45438</v>
      </c>
      <c r="I40" s="4">
        <v>127119</v>
      </c>
      <c r="J40" t="s">
        <v>19</v>
      </c>
      <c r="K40" t="s">
        <v>42</v>
      </c>
      <c r="L40" t="s">
        <v>33</v>
      </c>
      <c r="M40" t="s">
        <v>64</v>
      </c>
      <c r="N40">
        <v>1</v>
      </c>
      <c r="X40">
        <v>5</v>
      </c>
      <c r="AB40" t="str">
        <f t="shared" si="0"/>
        <v>May</v>
      </c>
    </row>
    <row r="41" spans="1:28" x14ac:dyDescent="0.35">
      <c r="A41" t="s">
        <v>89</v>
      </c>
      <c r="B41">
        <v>44</v>
      </c>
      <c r="C41" t="s">
        <v>24</v>
      </c>
      <c r="D41" t="s">
        <v>45</v>
      </c>
      <c r="E41" t="s">
        <v>35</v>
      </c>
      <c r="F41" t="s">
        <v>56</v>
      </c>
      <c r="G41" s="1">
        <v>45353</v>
      </c>
      <c r="H41" s="1">
        <v>45356</v>
      </c>
      <c r="I41" s="4">
        <v>135765</v>
      </c>
      <c r="J41" t="s">
        <v>28</v>
      </c>
      <c r="K41" t="s">
        <v>42</v>
      </c>
      <c r="L41" t="s">
        <v>43</v>
      </c>
      <c r="M41" t="s">
        <v>64</v>
      </c>
      <c r="N41">
        <v>3</v>
      </c>
      <c r="X41">
        <v>3</v>
      </c>
      <c r="AB41" t="str">
        <f t="shared" si="0"/>
        <v>Mar</v>
      </c>
    </row>
    <row r="42" spans="1:28" x14ac:dyDescent="0.35">
      <c r="A42" t="s">
        <v>90</v>
      </c>
      <c r="B42">
        <v>31</v>
      </c>
      <c r="C42" t="s">
        <v>15</v>
      </c>
      <c r="D42" t="s">
        <v>16</v>
      </c>
      <c r="E42" t="s">
        <v>40</v>
      </c>
      <c r="F42" t="s">
        <v>27</v>
      </c>
      <c r="G42" s="1">
        <v>45818</v>
      </c>
      <c r="H42" s="1">
        <v>45836</v>
      </c>
      <c r="I42" s="4">
        <v>109064</v>
      </c>
      <c r="J42" t="s">
        <v>19</v>
      </c>
      <c r="K42" t="s">
        <v>63</v>
      </c>
      <c r="L42" t="s">
        <v>46</v>
      </c>
      <c r="M42" t="s">
        <v>38</v>
      </c>
      <c r="N42">
        <v>1</v>
      </c>
      <c r="X42">
        <v>6</v>
      </c>
      <c r="AB42" t="str">
        <f t="shared" si="0"/>
        <v>Jun</v>
      </c>
    </row>
    <row r="43" spans="1:28" x14ac:dyDescent="0.35">
      <c r="A43" t="s">
        <v>91</v>
      </c>
      <c r="B43">
        <v>26</v>
      </c>
      <c r="C43" t="s">
        <v>24</v>
      </c>
      <c r="D43" t="s">
        <v>16</v>
      </c>
      <c r="E43" t="s">
        <v>32</v>
      </c>
      <c r="F43" t="s">
        <v>41</v>
      </c>
      <c r="G43" s="1">
        <v>45512</v>
      </c>
      <c r="H43" s="1">
        <v>45514</v>
      </c>
      <c r="I43" s="4">
        <v>69808</v>
      </c>
      <c r="J43" t="s">
        <v>61</v>
      </c>
      <c r="K43" t="s">
        <v>20</v>
      </c>
      <c r="L43" t="s">
        <v>48</v>
      </c>
      <c r="M43" t="s">
        <v>64</v>
      </c>
      <c r="N43">
        <v>1</v>
      </c>
      <c r="X43">
        <v>8</v>
      </c>
      <c r="AB43" t="str">
        <f t="shared" si="0"/>
        <v>Aug</v>
      </c>
    </row>
    <row r="44" spans="1:28" x14ac:dyDescent="0.35">
      <c r="A44" t="s">
        <v>92</v>
      </c>
      <c r="B44">
        <v>29</v>
      </c>
      <c r="C44" t="s">
        <v>24</v>
      </c>
      <c r="D44" t="s">
        <v>25</v>
      </c>
      <c r="E44" t="s">
        <v>26</v>
      </c>
      <c r="F44" t="s">
        <v>56</v>
      </c>
      <c r="G44" s="1">
        <v>45801</v>
      </c>
      <c r="H44" s="1">
        <v>45817</v>
      </c>
      <c r="I44" s="4">
        <v>20989</v>
      </c>
      <c r="J44" t="s">
        <v>61</v>
      </c>
      <c r="K44" t="s">
        <v>20</v>
      </c>
      <c r="L44" t="s">
        <v>48</v>
      </c>
      <c r="M44" t="s">
        <v>64</v>
      </c>
      <c r="N44">
        <v>4</v>
      </c>
      <c r="X44">
        <v>5</v>
      </c>
      <c r="AB44" t="str">
        <f t="shared" si="0"/>
        <v>May</v>
      </c>
    </row>
    <row r="45" spans="1:28" x14ac:dyDescent="0.35">
      <c r="A45" t="s">
        <v>93</v>
      </c>
      <c r="B45">
        <v>51</v>
      </c>
      <c r="C45" t="s">
        <v>15</v>
      </c>
      <c r="D45" t="s">
        <v>50</v>
      </c>
      <c r="E45" t="s">
        <v>32</v>
      </c>
      <c r="F45" t="s">
        <v>27</v>
      </c>
      <c r="G45" s="1">
        <v>45925</v>
      </c>
      <c r="H45" s="1">
        <v>45938</v>
      </c>
      <c r="I45" s="4">
        <v>234701</v>
      </c>
      <c r="J45" t="s">
        <v>28</v>
      </c>
      <c r="K45" t="s">
        <v>29</v>
      </c>
      <c r="L45" t="s">
        <v>48</v>
      </c>
      <c r="M45" t="s">
        <v>22</v>
      </c>
      <c r="N45">
        <v>4</v>
      </c>
      <c r="X45">
        <v>9</v>
      </c>
      <c r="AB45" t="str">
        <f t="shared" si="0"/>
        <v>Sep</v>
      </c>
    </row>
    <row r="46" spans="1:28" x14ac:dyDescent="0.35">
      <c r="A46" t="s">
        <v>94</v>
      </c>
      <c r="B46">
        <v>20</v>
      </c>
      <c r="C46" t="s">
        <v>24</v>
      </c>
      <c r="D46" t="s">
        <v>58</v>
      </c>
      <c r="E46" t="s">
        <v>17</v>
      </c>
      <c r="F46" t="s">
        <v>18</v>
      </c>
      <c r="G46" s="1">
        <v>45397</v>
      </c>
      <c r="H46" s="1">
        <v>45411</v>
      </c>
      <c r="I46" s="4">
        <v>86070</v>
      </c>
      <c r="J46" t="s">
        <v>37</v>
      </c>
      <c r="K46" t="s">
        <v>63</v>
      </c>
      <c r="L46" t="s">
        <v>48</v>
      </c>
      <c r="M46" t="s">
        <v>38</v>
      </c>
      <c r="N46">
        <v>5</v>
      </c>
      <c r="X46">
        <v>4</v>
      </c>
      <c r="AB46" t="str">
        <f t="shared" si="0"/>
        <v>Apr</v>
      </c>
    </row>
    <row r="47" spans="1:28" x14ac:dyDescent="0.35">
      <c r="A47" t="s">
        <v>95</v>
      </c>
      <c r="B47">
        <v>65</v>
      </c>
      <c r="C47" t="s">
        <v>24</v>
      </c>
      <c r="D47" t="s">
        <v>53</v>
      </c>
      <c r="E47" t="s">
        <v>51</v>
      </c>
      <c r="F47" t="s">
        <v>41</v>
      </c>
      <c r="G47" s="1">
        <v>45594</v>
      </c>
      <c r="H47" s="1">
        <v>45602</v>
      </c>
      <c r="I47" s="4">
        <v>223210</v>
      </c>
      <c r="J47" t="s">
        <v>19</v>
      </c>
      <c r="K47" t="s">
        <v>63</v>
      </c>
      <c r="L47" t="s">
        <v>48</v>
      </c>
      <c r="M47" t="s">
        <v>22</v>
      </c>
      <c r="N47">
        <v>3</v>
      </c>
      <c r="X47">
        <v>10</v>
      </c>
      <c r="AB47" t="str">
        <f t="shared" si="0"/>
        <v>Oct</v>
      </c>
    </row>
    <row r="48" spans="1:28" x14ac:dyDescent="0.35">
      <c r="A48" t="s">
        <v>96</v>
      </c>
      <c r="B48">
        <v>28</v>
      </c>
      <c r="C48" t="s">
        <v>15</v>
      </c>
      <c r="D48" t="s">
        <v>50</v>
      </c>
      <c r="E48" t="s">
        <v>26</v>
      </c>
      <c r="F48" t="s">
        <v>41</v>
      </c>
      <c r="G48" s="1">
        <v>45514</v>
      </c>
      <c r="H48" s="1">
        <v>45533</v>
      </c>
      <c r="I48" s="4">
        <v>232016</v>
      </c>
      <c r="J48" t="s">
        <v>37</v>
      </c>
      <c r="K48" t="s">
        <v>42</v>
      </c>
      <c r="L48" t="s">
        <v>48</v>
      </c>
      <c r="M48" t="s">
        <v>22</v>
      </c>
      <c r="N48">
        <v>3</v>
      </c>
      <c r="X48">
        <v>8</v>
      </c>
      <c r="AB48" t="str">
        <f t="shared" si="0"/>
        <v>Aug</v>
      </c>
    </row>
    <row r="49" spans="1:28" x14ac:dyDescent="0.35">
      <c r="A49" t="s">
        <v>97</v>
      </c>
      <c r="B49">
        <v>58</v>
      </c>
      <c r="C49" t="s">
        <v>24</v>
      </c>
      <c r="D49" t="s">
        <v>16</v>
      </c>
      <c r="E49" t="s">
        <v>51</v>
      </c>
      <c r="F49" t="s">
        <v>27</v>
      </c>
      <c r="G49" s="1">
        <v>45736</v>
      </c>
      <c r="H49" s="1">
        <v>45753</v>
      </c>
      <c r="I49" s="4">
        <v>122486</v>
      </c>
      <c r="J49" t="s">
        <v>28</v>
      </c>
      <c r="K49" t="s">
        <v>20</v>
      </c>
      <c r="L49" t="s">
        <v>43</v>
      </c>
      <c r="M49" t="s">
        <v>38</v>
      </c>
      <c r="N49">
        <v>2</v>
      </c>
      <c r="X49">
        <v>3</v>
      </c>
      <c r="AB49" t="str">
        <f t="shared" si="0"/>
        <v>Mar</v>
      </c>
    </row>
    <row r="50" spans="1:28" x14ac:dyDescent="0.35">
      <c r="A50" t="s">
        <v>98</v>
      </c>
      <c r="B50">
        <v>34</v>
      </c>
      <c r="C50" t="s">
        <v>24</v>
      </c>
      <c r="D50" t="s">
        <v>16</v>
      </c>
      <c r="E50" t="s">
        <v>17</v>
      </c>
      <c r="F50" t="s">
        <v>27</v>
      </c>
      <c r="G50" s="1">
        <v>45995</v>
      </c>
      <c r="H50" s="1">
        <v>46010</v>
      </c>
      <c r="I50" s="4">
        <v>203443</v>
      </c>
      <c r="J50" t="s">
        <v>61</v>
      </c>
      <c r="K50" t="s">
        <v>29</v>
      </c>
      <c r="L50" t="s">
        <v>48</v>
      </c>
      <c r="M50" t="s">
        <v>38</v>
      </c>
      <c r="N50">
        <v>2</v>
      </c>
      <c r="X50">
        <v>12</v>
      </c>
      <c r="AB50" t="str">
        <f t="shared" si="0"/>
        <v>Dec</v>
      </c>
    </row>
    <row r="51" spans="1:28" x14ac:dyDescent="0.35">
      <c r="A51" t="s">
        <v>99</v>
      </c>
      <c r="B51">
        <v>35</v>
      </c>
      <c r="C51" t="s">
        <v>24</v>
      </c>
      <c r="D51" t="s">
        <v>53</v>
      </c>
      <c r="E51" t="s">
        <v>26</v>
      </c>
      <c r="F51" t="s">
        <v>27</v>
      </c>
      <c r="G51" s="1">
        <v>45849</v>
      </c>
      <c r="H51" s="1">
        <v>45862</v>
      </c>
      <c r="I51" s="4">
        <v>240777</v>
      </c>
      <c r="J51" t="s">
        <v>28</v>
      </c>
      <c r="K51" t="s">
        <v>42</v>
      </c>
      <c r="L51" t="s">
        <v>46</v>
      </c>
      <c r="M51" t="s">
        <v>38</v>
      </c>
      <c r="N51">
        <v>1</v>
      </c>
      <c r="X51">
        <v>7</v>
      </c>
      <c r="AB51" t="str">
        <f t="shared" si="0"/>
        <v>Jul</v>
      </c>
    </row>
    <row r="52" spans="1:28" x14ac:dyDescent="0.35">
      <c r="A52" t="s">
        <v>100</v>
      </c>
      <c r="B52">
        <v>21</v>
      </c>
      <c r="C52" t="s">
        <v>24</v>
      </c>
      <c r="D52" t="s">
        <v>31</v>
      </c>
      <c r="E52" t="s">
        <v>26</v>
      </c>
      <c r="F52" t="s">
        <v>41</v>
      </c>
      <c r="G52" s="1">
        <v>45894</v>
      </c>
      <c r="H52" s="1">
        <v>45912</v>
      </c>
      <c r="I52" s="4">
        <v>148832</v>
      </c>
      <c r="J52" t="s">
        <v>61</v>
      </c>
      <c r="K52" t="s">
        <v>20</v>
      </c>
      <c r="L52" t="s">
        <v>48</v>
      </c>
      <c r="M52" t="s">
        <v>38</v>
      </c>
      <c r="N52">
        <v>5</v>
      </c>
      <c r="X52">
        <v>8</v>
      </c>
      <c r="AB52" t="str">
        <f t="shared" si="0"/>
        <v>Aug</v>
      </c>
    </row>
    <row r="53" spans="1:28" x14ac:dyDescent="0.35">
      <c r="A53" t="s">
        <v>101</v>
      </c>
      <c r="B53">
        <v>51</v>
      </c>
      <c r="C53" t="s">
        <v>24</v>
      </c>
      <c r="D53" t="s">
        <v>50</v>
      </c>
      <c r="E53" t="s">
        <v>40</v>
      </c>
      <c r="F53" t="s">
        <v>56</v>
      </c>
      <c r="G53" s="1">
        <v>45888</v>
      </c>
      <c r="H53" s="1">
        <v>45890</v>
      </c>
      <c r="I53" s="4">
        <v>44666</v>
      </c>
      <c r="J53" t="s">
        <v>37</v>
      </c>
      <c r="K53" t="s">
        <v>63</v>
      </c>
      <c r="L53" t="s">
        <v>48</v>
      </c>
      <c r="M53" t="s">
        <v>22</v>
      </c>
      <c r="N53">
        <v>4</v>
      </c>
      <c r="X53">
        <v>8</v>
      </c>
      <c r="AB53" t="str">
        <f t="shared" si="0"/>
        <v>Aug</v>
      </c>
    </row>
    <row r="54" spans="1:28" x14ac:dyDescent="0.35">
      <c r="A54" t="s">
        <v>102</v>
      </c>
      <c r="B54">
        <v>62</v>
      </c>
      <c r="C54" t="s">
        <v>15</v>
      </c>
      <c r="D54" t="s">
        <v>45</v>
      </c>
      <c r="E54" t="s">
        <v>35</v>
      </c>
      <c r="F54" t="s">
        <v>41</v>
      </c>
      <c r="G54" s="1">
        <v>45526</v>
      </c>
      <c r="H54" s="1">
        <v>45538</v>
      </c>
      <c r="I54" s="4">
        <v>125851</v>
      </c>
      <c r="J54" t="s">
        <v>28</v>
      </c>
      <c r="K54" t="s">
        <v>20</v>
      </c>
      <c r="L54" t="s">
        <v>43</v>
      </c>
      <c r="M54" t="s">
        <v>22</v>
      </c>
      <c r="N54">
        <v>4</v>
      </c>
      <c r="X54">
        <v>8</v>
      </c>
      <c r="AB54" t="str">
        <f t="shared" si="0"/>
        <v>Aug</v>
      </c>
    </row>
    <row r="55" spans="1:28" x14ac:dyDescent="0.35">
      <c r="A55" t="s">
        <v>103</v>
      </c>
      <c r="B55">
        <v>84</v>
      </c>
      <c r="C55" t="s">
        <v>15</v>
      </c>
      <c r="D55" t="s">
        <v>53</v>
      </c>
      <c r="E55" t="s">
        <v>26</v>
      </c>
      <c r="F55" t="s">
        <v>27</v>
      </c>
      <c r="G55" s="1">
        <v>45857</v>
      </c>
      <c r="H55" s="1">
        <v>45875</v>
      </c>
      <c r="I55" s="4">
        <v>94593</v>
      </c>
      <c r="J55" t="s">
        <v>37</v>
      </c>
      <c r="K55" t="s">
        <v>63</v>
      </c>
      <c r="L55" t="s">
        <v>46</v>
      </c>
      <c r="M55" t="s">
        <v>38</v>
      </c>
      <c r="N55">
        <v>3</v>
      </c>
      <c r="X55">
        <v>7</v>
      </c>
      <c r="AB55" t="str">
        <f t="shared" si="0"/>
        <v>Jul</v>
      </c>
    </row>
    <row r="56" spans="1:28" x14ac:dyDescent="0.35">
      <c r="A56" t="s">
        <v>104</v>
      </c>
      <c r="B56">
        <v>77</v>
      </c>
      <c r="C56" t="s">
        <v>15</v>
      </c>
      <c r="D56" t="s">
        <v>53</v>
      </c>
      <c r="E56" t="s">
        <v>17</v>
      </c>
      <c r="F56" t="s">
        <v>27</v>
      </c>
      <c r="G56" s="1">
        <v>45592</v>
      </c>
      <c r="H56" s="1">
        <v>45599</v>
      </c>
      <c r="I56" s="4">
        <v>41552</v>
      </c>
      <c r="J56" t="s">
        <v>28</v>
      </c>
      <c r="K56" t="s">
        <v>63</v>
      </c>
      <c r="L56" t="s">
        <v>43</v>
      </c>
      <c r="M56" t="s">
        <v>22</v>
      </c>
      <c r="N56">
        <v>3</v>
      </c>
      <c r="X56">
        <v>10</v>
      </c>
      <c r="AB56" t="str">
        <f t="shared" si="0"/>
        <v>Oct</v>
      </c>
    </row>
    <row r="57" spans="1:28" x14ac:dyDescent="0.35">
      <c r="A57" t="s">
        <v>105</v>
      </c>
      <c r="B57">
        <v>81</v>
      </c>
      <c r="C57" t="s">
        <v>15</v>
      </c>
      <c r="D57" t="s">
        <v>58</v>
      </c>
      <c r="E57" t="s">
        <v>32</v>
      </c>
      <c r="F57" t="s">
        <v>36</v>
      </c>
      <c r="G57" s="1">
        <v>45784</v>
      </c>
      <c r="H57" s="1">
        <v>45792</v>
      </c>
      <c r="I57" s="4">
        <v>227469</v>
      </c>
      <c r="J57" t="s">
        <v>28</v>
      </c>
      <c r="K57" t="s">
        <v>63</v>
      </c>
      <c r="L57" t="s">
        <v>48</v>
      </c>
      <c r="M57" t="s">
        <v>22</v>
      </c>
      <c r="N57">
        <v>5</v>
      </c>
      <c r="X57">
        <v>5</v>
      </c>
      <c r="AB57" t="str">
        <f t="shared" si="0"/>
        <v>May</v>
      </c>
    </row>
    <row r="58" spans="1:28" x14ac:dyDescent="0.35">
      <c r="A58" t="s">
        <v>106</v>
      </c>
      <c r="B58">
        <v>73</v>
      </c>
      <c r="C58" t="s">
        <v>24</v>
      </c>
      <c r="D58" t="s">
        <v>16</v>
      </c>
      <c r="E58" t="s">
        <v>26</v>
      </c>
      <c r="F58" t="s">
        <v>41</v>
      </c>
      <c r="G58" s="1">
        <v>45524</v>
      </c>
      <c r="H58" s="1">
        <v>45536</v>
      </c>
      <c r="I58" s="4">
        <v>160404</v>
      </c>
      <c r="J58" t="s">
        <v>61</v>
      </c>
      <c r="K58" t="s">
        <v>42</v>
      </c>
      <c r="L58" t="s">
        <v>43</v>
      </c>
      <c r="M58" t="s">
        <v>64</v>
      </c>
      <c r="N58">
        <v>1</v>
      </c>
      <c r="X58">
        <v>8</v>
      </c>
      <c r="AB58" t="str">
        <f t="shared" si="0"/>
        <v>Aug</v>
      </c>
    </row>
    <row r="59" spans="1:28" x14ac:dyDescent="0.35">
      <c r="A59" t="s">
        <v>107</v>
      </c>
      <c r="B59">
        <v>31</v>
      </c>
      <c r="C59" t="s">
        <v>24</v>
      </c>
      <c r="D59" t="s">
        <v>31</v>
      </c>
      <c r="E59" t="s">
        <v>40</v>
      </c>
      <c r="F59" t="s">
        <v>27</v>
      </c>
      <c r="G59" s="1">
        <v>45902</v>
      </c>
      <c r="H59" s="1">
        <v>45921</v>
      </c>
      <c r="I59" s="4">
        <v>194509</v>
      </c>
      <c r="J59" t="s">
        <v>19</v>
      </c>
      <c r="K59" t="s">
        <v>42</v>
      </c>
      <c r="L59" t="s">
        <v>21</v>
      </c>
      <c r="M59" t="s">
        <v>38</v>
      </c>
      <c r="N59">
        <v>2</v>
      </c>
      <c r="X59">
        <v>9</v>
      </c>
      <c r="AB59" t="str">
        <f t="shared" si="0"/>
        <v>Sep</v>
      </c>
    </row>
    <row r="60" spans="1:28" x14ac:dyDescent="0.35">
      <c r="A60" t="s">
        <v>108</v>
      </c>
      <c r="B60">
        <v>39</v>
      </c>
      <c r="C60" t="s">
        <v>24</v>
      </c>
      <c r="D60" t="s">
        <v>58</v>
      </c>
      <c r="E60" t="s">
        <v>17</v>
      </c>
      <c r="F60" t="s">
        <v>56</v>
      </c>
      <c r="G60" s="1">
        <v>45554</v>
      </c>
      <c r="H60" s="1">
        <v>45565</v>
      </c>
      <c r="I60" s="4">
        <v>22058</v>
      </c>
      <c r="J60" t="s">
        <v>28</v>
      </c>
      <c r="K60" t="s">
        <v>63</v>
      </c>
      <c r="L60" t="s">
        <v>33</v>
      </c>
      <c r="M60" t="s">
        <v>22</v>
      </c>
      <c r="N60">
        <v>4</v>
      </c>
      <c r="X60">
        <v>9</v>
      </c>
      <c r="AB60" t="str">
        <f t="shared" si="0"/>
        <v>Sep</v>
      </c>
    </row>
    <row r="61" spans="1:28" x14ac:dyDescent="0.35">
      <c r="A61" t="s">
        <v>109</v>
      </c>
      <c r="B61">
        <v>73</v>
      </c>
      <c r="C61" t="s">
        <v>15</v>
      </c>
      <c r="D61" t="s">
        <v>45</v>
      </c>
      <c r="E61" t="s">
        <v>40</v>
      </c>
      <c r="F61" t="s">
        <v>56</v>
      </c>
      <c r="G61" s="1">
        <v>45796</v>
      </c>
      <c r="H61" s="1">
        <v>45812</v>
      </c>
      <c r="I61" s="4">
        <v>20041</v>
      </c>
      <c r="J61" t="s">
        <v>61</v>
      </c>
      <c r="K61" t="s">
        <v>29</v>
      </c>
      <c r="L61" t="s">
        <v>33</v>
      </c>
      <c r="M61" t="s">
        <v>64</v>
      </c>
      <c r="N61">
        <v>1</v>
      </c>
      <c r="X61">
        <v>5</v>
      </c>
      <c r="AB61" t="str">
        <f t="shared" si="0"/>
        <v>May</v>
      </c>
    </row>
    <row r="62" spans="1:28" x14ac:dyDescent="0.35">
      <c r="A62" t="s">
        <v>110</v>
      </c>
      <c r="B62">
        <v>42</v>
      </c>
      <c r="C62" t="s">
        <v>24</v>
      </c>
      <c r="D62" t="s">
        <v>25</v>
      </c>
      <c r="E62" t="s">
        <v>51</v>
      </c>
      <c r="F62" t="s">
        <v>41</v>
      </c>
      <c r="G62" s="1">
        <v>45372</v>
      </c>
      <c r="H62" s="1">
        <v>45373</v>
      </c>
      <c r="I62" s="4">
        <v>149566</v>
      </c>
      <c r="J62" t="s">
        <v>28</v>
      </c>
      <c r="K62" t="s">
        <v>29</v>
      </c>
      <c r="L62" t="s">
        <v>43</v>
      </c>
      <c r="M62" t="s">
        <v>64</v>
      </c>
      <c r="N62">
        <v>1</v>
      </c>
      <c r="X62">
        <v>3</v>
      </c>
      <c r="AB62" t="str">
        <f t="shared" si="0"/>
        <v>Mar</v>
      </c>
    </row>
    <row r="63" spans="1:28" x14ac:dyDescent="0.35">
      <c r="A63" t="s">
        <v>111</v>
      </c>
      <c r="B63">
        <v>40</v>
      </c>
      <c r="C63" t="s">
        <v>15</v>
      </c>
      <c r="D63" t="s">
        <v>58</v>
      </c>
      <c r="E63" t="s">
        <v>32</v>
      </c>
      <c r="F63" t="s">
        <v>27</v>
      </c>
      <c r="G63" s="1">
        <v>45615</v>
      </c>
      <c r="H63" s="1">
        <v>45626</v>
      </c>
      <c r="I63" s="4">
        <v>53056</v>
      </c>
      <c r="J63" t="s">
        <v>28</v>
      </c>
      <c r="K63" t="s">
        <v>42</v>
      </c>
      <c r="L63" t="s">
        <v>33</v>
      </c>
      <c r="M63" t="s">
        <v>38</v>
      </c>
      <c r="N63">
        <v>2</v>
      </c>
      <c r="X63">
        <v>11</v>
      </c>
      <c r="AB63" t="str">
        <f t="shared" si="0"/>
        <v>Nov</v>
      </c>
    </row>
    <row r="64" spans="1:28" x14ac:dyDescent="0.35">
      <c r="A64" t="s">
        <v>112</v>
      </c>
      <c r="B64">
        <v>30</v>
      </c>
      <c r="C64" t="s">
        <v>24</v>
      </c>
      <c r="D64" t="s">
        <v>31</v>
      </c>
      <c r="E64" t="s">
        <v>26</v>
      </c>
      <c r="F64" t="s">
        <v>27</v>
      </c>
      <c r="G64" s="1">
        <v>45791</v>
      </c>
      <c r="H64" s="1">
        <v>45799</v>
      </c>
      <c r="I64" s="4">
        <v>23298</v>
      </c>
      <c r="J64" t="s">
        <v>37</v>
      </c>
      <c r="K64" t="s">
        <v>63</v>
      </c>
      <c r="L64" t="s">
        <v>48</v>
      </c>
      <c r="M64" t="s">
        <v>64</v>
      </c>
      <c r="N64">
        <v>3</v>
      </c>
      <c r="X64">
        <v>5</v>
      </c>
      <c r="AB64" t="str">
        <f t="shared" si="0"/>
        <v>May</v>
      </c>
    </row>
    <row r="65" spans="1:28" x14ac:dyDescent="0.35">
      <c r="A65" t="s">
        <v>113</v>
      </c>
      <c r="B65">
        <v>83</v>
      </c>
      <c r="C65" t="s">
        <v>24</v>
      </c>
      <c r="D65" t="s">
        <v>58</v>
      </c>
      <c r="E65" t="s">
        <v>17</v>
      </c>
      <c r="F65" t="s">
        <v>56</v>
      </c>
      <c r="G65" s="1">
        <v>45431</v>
      </c>
      <c r="H65" s="1">
        <v>45437</v>
      </c>
      <c r="I65" s="4">
        <v>47630</v>
      </c>
      <c r="J65" t="s">
        <v>37</v>
      </c>
      <c r="K65" t="s">
        <v>20</v>
      </c>
      <c r="L65" t="s">
        <v>48</v>
      </c>
      <c r="M65" t="s">
        <v>22</v>
      </c>
      <c r="N65">
        <v>1</v>
      </c>
      <c r="X65">
        <v>5</v>
      </c>
      <c r="AB65" t="str">
        <f t="shared" si="0"/>
        <v>May</v>
      </c>
    </row>
    <row r="66" spans="1:28" x14ac:dyDescent="0.35">
      <c r="A66" t="s">
        <v>114</v>
      </c>
      <c r="B66">
        <v>53</v>
      </c>
      <c r="C66" t="s">
        <v>15</v>
      </c>
      <c r="D66" t="s">
        <v>50</v>
      </c>
      <c r="E66" t="s">
        <v>17</v>
      </c>
      <c r="F66" t="s">
        <v>27</v>
      </c>
      <c r="G66" s="1">
        <v>45298</v>
      </c>
      <c r="H66" s="1">
        <v>45304</v>
      </c>
      <c r="I66" s="4">
        <v>156724</v>
      </c>
      <c r="J66" t="s">
        <v>28</v>
      </c>
      <c r="K66" t="s">
        <v>42</v>
      </c>
      <c r="L66" t="s">
        <v>33</v>
      </c>
      <c r="M66" t="s">
        <v>22</v>
      </c>
      <c r="N66">
        <v>4</v>
      </c>
      <c r="X66">
        <v>1</v>
      </c>
      <c r="AB66" t="str">
        <f t="shared" si="0"/>
        <v>Jan</v>
      </c>
    </row>
    <row r="67" spans="1:28" x14ac:dyDescent="0.35">
      <c r="A67" t="s">
        <v>115</v>
      </c>
      <c r="B67">
        <v>85</v>
      </c>
      <c r="C67" t="s">
        <v>15</v>
      </c>
      <c r="D67" t="s">
        <v>53</v>
      </c>
      <c r="E67" t="s">
        <v>51</v>
      </c>
      <c r="F67" t="s">
        <v>27</v>
      </c>
      <c r="G67" s="1">
        <v>45654</v>
      </c>
      <c r="H67" s="1">
        <v>45664</v>
      </c>
      <c r="I67" s="4">
        <v>215091</v>
      </c>
      <c r="J67" t="s">
        <v>61</v>
      </c>
      <c r="K67" t="s">
        <v>63</v>
      </c>
      <c r="L67" t="s">
        <v>48</v>
      </c>
      <c r="M67" t="s">
        <v>64</v>
      </c>
      <c r="N67">
        <v>4</v>
      </c>
      <c r="X67">
        <v>12</v>
      </c>
      <c r="AB67" t="str">
        <f t="shared" ref="AB67:AB130" si="1">TEXT(G67,"mmm")</f>
        <v>Dec</v>
      </c>
    </row>
    <row r="68" spans="1:28" x14ac:dyDescent="0.35">
      <c r="A68" t="s">
        <v>116</v>
      </c>
      <c r="B68">
        <v>22</v>
      </c>
      <c r="C68" t="s">
        <v>15</v>
      </c>
      <c r="D68" t="s">
        <v>25</v>
      </c>
      <c r="E68" t="s">
        <v>32</v>
      </c>
      <c r="F68" t="s">
        <v>27</v>
      </c>
      <c r="G68" s="1">
        <v>45596</v>
      </c>
      <c r="H68" s="1">
        <v>45615</v>
      </c>
      <c r="I68" s="4">
        <v>142659</v>
      </c>
      <c r="J68" t="s">
        <v>19</v>
      </c>
      <c r="K68" t="s">
        <v>63</v>
      </c>
      <c r="L68" t="s">
        <v>21</v>
      </c>
      <c r="M68" t="s">
        <v>38</v>
      </c>
      <c r="N68">
        <v>1</v>
      </c>
      <c r="X68">
        <v>10</v>
      </c>
      <c r="AB68" t="str">
        <f t="shared" si="1"/>
        <v>Oct</v>
      </c>
    </row>
    <row r="69" spans="1:28" x14ac:dyDescent="0.35">
      <c r="A69" t="s">
        <v>117</v>
      </c>
      <c r="B69">
        <v>54</v>
      </c>
      <c r="C69" t="s">
        <v>24</v>
      </c>
      <c r="D69" t="s">
        <v>45</v>
      </c>
      <c r="E69" t="s">
        <v>17</v>
      </c>
      <c r="F69" t="s">
        <v>36</v>
      </c>
      <c r="G69" s="1">
        <v>45984</v>
      </c>
      <c r="H69" s="1">
        <v>45995</v>
      </c>
      <c r="I69" s="4">
        <v>142295</v>
      </c>
      <c r="J69" t="s">
        <v>37</v>
      </c>
      <c r="K69" t="s">
        <v>42</v>
      </c>
      <c r="L69" t="s">
        <v>46</v>
      </c>
      <c r="M69" t="s">
        <v>22</v>
      </c>
      <c r="N69">
        <v>4</v>
      </c>
      <c r="X69">
        <v>11</v>
      </c>
      <c r="AB69" t="str">
        <f t="shared" si="1"/>
        <v>Nov</v>
      </c>
    </row>
    <row r="70" spans="1:28" x14ac:dyDescent="0.35">
      <c r="A70" t="s">
        <v>118</v>
      </c>
      <c r="B70">
        <v>70</v>
      </c>
      <c r="C70" t="s">
        <v>24</v>
      </c>
      <c r="D70" t="s">
        <v>50</v>
      </c>
      <c r="E70" t="s">
        <v>32</v>
      </c>
      <c r="F70" t="s">
        <v>41</v>
      </c>
      <c r="G70" s="1">
        <v>45418</v>
      </c>
      <c r="H70" s="1">
        <v>45419</v>
      </c>
      <c r="I70" s="4">
        <v>64085</v>
      </c>
      <c r="J70" t="s">
        <v>28</v>
      </c>
      <c r="K70" t="s">
        <v>63</v>
      </c>
      <c r="L70" t="s">
        <v>21</v>
      </c>
      <c r="M70" t="s">
        <v>38</v>
      </c>
      <c r="N70">
        <v>5</v>
      </c>
      <c r="X70">
        <v>5</v>
      </c>
      <c r="AB70" t="str">
        <f t="shared" si="1"/>
        <v>May</v>
      </c>
    </row>
    <row r="71" spans="1:28" x14ac:dyDescent="0.35">
      <c r="A71" t="s">
        <v>119</v>
      </c>
      <c r="B71">
        <v>56</v>
      </c>
      <c r="C71" t="s">
        <v>15</v>
      </c>
      <c r="D71" t="s">
        <v>45</v>
      </c>
      <c r="E71" t="s">
        <v>26</v>
      </c>
      <c r="F71" t="s">
        <v>56</v>
      </c>
      <c r="G71" s="1">
        <v>45407</v>
      </c>
      <c r="H71" s="1">
        <v>45413</v>
      </c>
      <c r="I71" s="4">
        <v>212927</v>
      </c>
      <c r="J71" t="s">
        <v>37</v>
      </c>
      <c r="K71" t="s">
        <v>42</v>
      </c>
      <c r="L71" t="s">
        <v>33</v>
      </c>
      <c r="M71" t="s">
        <v>22</v>
      </c>
      <c r="N71">
        <v>2</v>
      </c>
      <c r="X71">
        <v>4</v>
      </c>
      <c r="AB71" t="str">
        <f t="shared" si="1"/>
        <v>Apr</v>
      </c>
    </row>
    <row r="72" spans="1:28" x14ac:dyDescent="0.35">
      <c r="A72" t="s">
        <v>120</v>
      </c>
      <c r="B72">
        <v>28</v>
      </c>
      <c r="C72" t="s">
        <v>15</v>
      </c>
      <c r="D72" t="s">
        <v>58</v>
      </c>
      <c r="E72" t="s">
        <v>35</v>
      </c>
      <c r="F72" t="s">
        <v>41</v>
      </c>
      <c r="G72" s="1">
        <v>45372</v>
      </c>
      <c r="H72" s="1">
        <v>45381</v>
      </c>
      <c r="I72" s="4">
        <v>119271</v>
      </c>
      <c r="J72" t="s">
        <v>19</v>
      </c>
      <c r="K72" t="s">
        <v>29</v>
      </c>
      <c r="L72" t="s">
        <v>21</v>
      </c>
      <c r="M72" t="s">
        <v>38</v>
      </c>
      <c r="N72">
        <v>4</v>
      </c>
      <c r="X72">
        <v>3</v>
      </c>
      <c r="AB72" t="str">
        <f t="shared" si="1"/>
        <v>Mar</v>
      </c>
    </row>
    <row r="73" spans="1:28" x14ac:dyDescent="0.35">
      <c r="A73" t="s">
        <v>121</v>
      </c>
      <c r="B73">
        <v>29</v>
      </c>
      <c r="C73" t="s">
        <v>15</v>
      </c>
      <c r="D73" t="s">
        <v>58</v>
      </c>
      <c r="E73" t="s">
        <v>40</v>
      </c>
      <c r="F73" t="s">
        <v>56</v>
      </c>
      <c r="G73" s="1">
        <v>45795</v>
      </c>
      <c r="H73" s="1">
        <v>45808</v>
      </c>
      <c r="I73" s="4">
        <v>71195</v>
      </c>
      <c r="J73" t="s">
        <v>61</v>
      </c>
      <c r="K73" t="s">
        <v>20</v>
      </c>
      <c r="L73" t="s">
        <v>43</v>
      </c>
      <c r="M73" t="s">
        <v>38</v>
      </c>
      <c r="N73">
        <v>3</v>
      </c>
      <c r="X73">
        <v>5</v>
      </c>
      <c r="AB73" t="str">
        <f t="shared" si="1"/>
        <v>May</v>
      </c>
    </row>
    <row r="74" spans="1:28" x14ac:dyDescent="0.35">
      <c r="A74" t="s">
        <v>122</v>
      </c>
      <c r="B74">
        <v>31</v>
      </c>
      <c r="C74" t="s">
        <v>24</v>
      </c>
      <c r="D74" t="s">
        <v>58</v>
      </c>
      <c r="E74" t="s">
        <v>17</v>
      </c>
      <c r="F74" t="s">
        <v>41</v>
      </c>
      <c r="G74" s="1">
        <v>45505</v>
      </c>
      <c r="H74" s="1">
        <v>45525</v>
      </c>
      <c r="I74" s="4">
        <v>101072</v>
      </c>
      <c r="J74" t="s">
        <v>61</v>
      </c>
      <c r="K74" t="s">
        <v>29</v>
      </c>
      <c r="L74" t="s">
        <v>48</v>
      </c>
      <c r="M74" t="s">
        <v>22</v>
      </c>
      <c r="N74">
        <v>4</v>
      </c>
      <c r="X74">
        <v>8</v>
      </c>
      <c r="AB74" t="str">
        <f t="shared" si="1"/>
        <v>Aug</v>
      </c>
    </row>
    <row r="75" spans="1:28" x14ac:dyDescent="0.35">
      <c r="A75" t="s">
        <v>123</v>
      </c>
      <c r="B75">
        <v>62</v>
      </c>
      <c r="C75" t="s">
        <v>15</v>
      </c>
      <c r="D75" t="s">
        <v>45</v>
      </c>
      <c r="E75" t="s">
        <v>32</v>
      </c>
      <c r="F75" t="s">
        <v>18</v>
      </c>
      <c r="G75" s="1">
        <v>45354</v>
      </c>
      <c r="H75" s="1">
        <v>45367</v>
      </c>
      <c r="I75" s="4">
        <v>95513</v>
      </c>
      <c r="J75" t="s">
        <v>37</v>
      </c>
      <c r="K75" t="s">
        <v>20</v>
      </c>
      <c r="L75" t="s">
        <v>46</v>
      </c>
      <c r="M75" t="s">
        <v>64</v>
      </c>
      <c r="N75">
        <v>1</v>
      </c>
      <c r="X75">
        <v>3</v>
      </c>
      <c r="AB75" t="str">
        <f t="shared" si="1"/>
        <v>Mar</v>
      </c>
    </row>
    <row r="76" spans="1:28" x14ac:dyDescent="0.35">
      <c r="A76" t="s">
        <v>124</v>
      </c>
      <c r="B76">
        <v>84</v>
      </c>
      <c r="C76" t="s">
        <v>24</v>
      </c>
      <c r="D76" t="s">
        <v>53</v>
      </c>
      <c r="E76" t="s">
        <v>26</v>
      </c>
      <c r="F76" t="s">
        <v>36</v>
      </c>
      <c r="G76" s="1">
        <v>45828</v>
      </c>
      <c r="H76" s="1">
        <v>45839</v>
      </c>
      <c r="I76" s="4">
        <v>38235</v>
      </c>
      <c r="J76" t="s">
        <v>61</v>
      </c>
      <c r="K76" t="s">
        <v>20</v>
      </c>
      <c r="L76" t="s">
        <v>43</v>
      </c>
      <c r="M76" t="s">
        <v>64</v>
      </c>
      <c r="N76">
        <v>4</v>
      </c>
      <c r="X76">
        <v>6</v>
      </c>
      <c r="AB76" t="str">
        <f t="shared" si="1"/>
        <v>Jun</v>
      </c>
    </row>
    <row r="77" spans="1:28" x14ac:dyDescent="0.35">
      <c r="A77" t="s">
        <v>125</v>
      </c>
      <c r="B77">
        <v>75</v>
      </c>
      <c r="C77" t="s">
        <v>24</v>
      </c>
      <c r="D77" t="s">
        <v>25</v>
      </c>
      <c r="E77" t="s">
        <v>51</v>
      </c>
      <c r="F77" t="s">
        <v>41</v>
      </c>
      <c r="G77" s="1">
        <v>45998</v>
      </c>
      <c r="H77" s="1">
        <v>46001</v>
      </c>
      <c r="I77" s="4">
        <v>220805</v>
      </c>
      <c r="J77" t="s">
        <v>19</v>
      </c>
      <c r="K77" t="s">
        <v>63</v>
      </c>
      <c r="L77" t="s">
        <v>48</v>
      </c>
      <c r="M77" t="s">
        <v>22</v>
      </c>
      <c r="N77">
        <v>2</v>
      </c>
      <c r="X77">
        <v>12</v>
      </c>
      <c r="AB77" t="str">
        <f t="shared" si="1"/>
        <v>Dec</v>
      </c>
    </row>
    <row r="78" spans="1:28" x14ac:dyDescent="0.35">
      <c r="A78" t="s">
        <v>126</v>
      </c>
      <c r="B78">
        <v>53</v>
      </c>
      <c r="C78" t="s">
        <v>24</v>
      </c>
      <c r="D78" t="s">
        <v>50</v>
      </c>
      <c r="E78" t="s">
        <v>17</v>
      </c>
      <c r="F78" t="s">
        <v>27</v>
      </c>
      <c r="G78" s="1">
        <v>45656</v>
      </c>
      <c r="H78" s="1">
        <v>45675</v>
      </c>
      <c r="I78" s="4">
        <v>196683</v>
      </c>
      <c r="J78" t="s">
        <v>19</v>
      </c>
      <c r="K78" t="s">
        <v>29</v>
      </c>
      <c r="L78" t="s">
        <v>33</v>
      </c>
      <c r="M78" t="s">
        <v>22</v>
      </c>
      <c r="N78">
        <v>5</v>
      </c>
      <c r="X78">
        <v>12</v>
      </c>
      <c r="AB78" t="str">
        <f t="shared" si="1"/>
        <v>Dec</v>
      </c>
    </row>
    <row r="79" spans="1:28" x14ac:dyDescent="0.35">
      <c r="A79" t="s">
        <v>127</v>
      </c>
      <c r="B79">
        <v>52</v>
      </c>
      <c r="C79" t="s">
        <v>15</v>
      </c>
      <c r="D79" t="s">
        <v>58</v>
      </c>
      <c r="E79" t="s">
        <v>17</v>
      </c>
      <c r="F79" t="s">
        <v>27</v>
      </c>
      <c r="G79" s="1">
        <v>45488</v>
      </c>
      <c r="H79" s="1">
        <v>45504</v>
      </c>
      <c r="I79" s="4">
        <v>189270</v>
      </c>
      <c r="J79" t="s">
        <v>28</v>
      </c>
      <c r="K79" t="s">
        <v>42</v>
      </c>
      <c r="L79" t="s">
        <v>33</v>
      </c>
      <c r="M79" t="s">
        <v>38</v>
      </c>
      <c r="N79">
        <v>2</v>
      </c>
      <c r="X79">
        <v>7</v>
      </c>
      <c r="AB79" t="str">
        <f t="shared" si="1"/>
        <v>Jul</v>
      </c>
    </row>
    <row r="80" spans="1:28" x14ac:dyDescent="0.35">
      <c r="A80" t="s">
        <v>128</v>
      </c>
      <c r="B80">
        <v>68</v>
      </c>
      <c r="C80" t="s">
        <v>15</v>
      </c>
      <c r="D80" t="s">
        <v>45</v>
      </c>
      <c r="E80" t="s">
        <v>32</v>
      </c>
      <c r="F80" t="s">
        <v>41</v>
      </c>
      <c r="G80" s="1">
        <v>45520</v>
      </c>
      <c r="H80" s="1">
        <v>45540</v>
      </c>
      <c r="I80" s="4">
        <v>19679</v>
      </c>
      <c r="J80" t="s">
        <v>19</v>
      </c>
      <c r="K80" t="s">
        <v>42</v>
      </c>
      <c r="L80" t="s">
        <v>43</v>
      </c>
      <c r="M80" t="s">
        <v>22</v>
      </c>
      <c r="N80">
        <v>3</v>
      </c>
      <c r="X80">
        <v>8</v>
      </c>
      <c r="AB80" t="str">
        <f t="shared" si="1"/>
        <v>Aug</v>
      </c>
    </row>
    <row r="81" spans="1:28" x14ac:dyDescent="0.35">
      <c r="A81" t="s">
        <v>129</v>
      </c>
      <c r="B81">
        <v>29</v>
      </c>
      <c r="C81" t="s">
        <v>15</v>
      </c>
      <c r="D81" t="s">
        <v>31</v>
      </c>
      <c r="E81" t="s">
        <v>17</v>
      </c>
      <c r="F81" t="s">
        <v>36</v>
      </c>
      <c r="G81" s="1">
        <v>45734</v>
      </c>
      <c r="H81" s="1">
        <v>45747</v>
      </c>
      <c r="I81" s="4">
        <v>211891</v>
      </c>
      <c r="J81" t="s">
        <v>37</v>
      </c>
      <c r="K81" t="s">
        <v>42</v>
      </c>
      <c r="L81" t="s">
        <v>21</v>
      </c>
      <c r="M81" t="s">
        <v>64</v>
      </c>
      <c r="N81">
        <v>5</v>
      </c>
      <c r="X81">
        <v>3</v>
      </c>
      <c r="AB81" t="str">
        <f t="shared" si="1"/>
        <v>Mar</v>
      </c>
    </row>
    <row r="82" spans="1:28" x14ac:dyDescent="0.35">
      <c r="A82" t="s">
        <v>130</v>
      </c>
      <c r="B82">
        <v>46</v>
      </c>
      <c r="C82" t="s">
        <v>15</v>
      </c>
      <c r="D82" t="s">
        <v>45</v>
      </c>
      <c r="E82" t="s">
        <v>32</v>
      </c>
      <c r="F82" t="s">
        <v>56</v>
      </c>
      <c r="G82" s="1">
        <v>45544</v>
      </c>
      <c r="H82" s="1">
        <v>45564</v>
      </c>
      <c r="I82" s="4">
        <v>240537</v>
      </c>
      <c r="J82" t="s">
        <v>61</v>
      </c>
      <c r="K82" t="s">
        <v>20</v>
      </c>
      <c r="L82" t="s">
        <v>21</v>
      </c>
      <c r="M82" t="s">
        <v>22</v>
      </c>
      <c r="N82">
        <v>2</v>
      </c>
      <c r="X82">
        <v>9</v>
      </c>
      <c r="AB82" t="str">
        <f t="shared" si="1"/>
        <v>Sep</v>
      </c>
    </row>
    <row r="83" spans="1:28" x14ac:dyDescent="0.35">
      <c r="A83" t="s">
        <v>131</v>
      </c>
      <c r="B83">
        <v>32</v>
      </c>
      <c r="C83" t="s">
        <v>24</v>
      </c>
      <c r="D83" t="s">
        <v>16</v>
      </c>
      <c r="E83" t="s">
        <v>26</v>
      </c>
      <c r="F83" t="s">
        <v>56</v>
      </c>
      <c r="G83" s="1">
        <v>45575</v>
      </c>
      <c r="H83" s="1">
        <v>45586</v>
      </c>
      <c r="I83" s="4">
        <v>78153</v>
      </c>
      <c r="J83" t="s">
        <v>61</v>
      </c>
      <c r="K83" t="s">
        <v>20</v>
      </c>
      <c r="L83" t="s">
        <v>46</v>
      </c>
      <c r="M83" t="s">
        <v>38</v>
      </c>
      <c r="N83">
        <v>5</v>
      </c>
      <c r="X83">
        <v>10</v>
      </c>
      <c r="AB83" t="str">
        <f t="shared" si="1"/>
        <v>Oct</v>
      </c>
    </row>
    <row r="84" spans="1:28" x14ac:dyDescent="0.35">
      <c r="A84" t="s">
        <v>132</v>
      </c>
      <c r="B84">
        <v>47</v>
      </c>
      <c r="C84" t="s">
        <v>15</v>
      </c>
      <c r="D84" t="s">
        <v>53</v>
      </c>
      <c r="E84" t="s">
        <v>32</v>
      </c>
      <c r="F84" t="s">
        <v>41</v>
      </c>
      <c r="G84" s="1">
        <v>45860</v>
      </c>
      <c r="H84" s="1">
        <v>45866</v>
      </c>
      <c r="I84" s="4">
        <v>28603</v>
      </c>
      <c r="J84" t="s">
        <v>37</v>
      </c>
      <c r="K84" t="s">
        <v>63</v>
      </c>
      <c r="L84" t="s">
        <v>43</v>
      </c>
      <c r="M84" t="s">
        <v>38</v>
      </c>
      <c r="N84">
        <v>3</v>
      </c>
      <c r="X84">
        <v>7</v>
      </c>
      <c r="AB84" t="str">
        <f t="shared" si="1"/>
        <v>Jul</v>
      </c>
    </row>
    <row r="85" spans="1:28" x14ac:dyDescent="0.35">
      <c r="A85" t="s">
        <v>133</v>
      </c>
      <c r="B85">
        <v>50</v>
      </c>
      <c r="C85" t="s">
        <v>15</v>
      </c>
      <c r="D85" t="s">
        <v>50</v>
      </c>
      <c r="E85" t="s">
        <v>32</v>
      </c>
      <c r="F85" t="s">
        <v>27</v>
      </c>
      <c r="G85" s="1">
        <v>45479</v>
      </c>
      <c r="H85" s="1">
        <v>45498</v>
      </c>
      <c r="I85" s="4">
        <v>67026</v>
      </c>
      <c r="J85" t="s">
        <v>19</v>
      </c>
      <c r="K85" t="s">
        <v>63</v>
      </c>
      <c r="L85" t="s">
        <v>48</v>
      </c>
      <c r="M85" t="s">
        <v>22</v>
      </c>
      <c r="N85">
        <v>5</v>
      </c>
      <c r="X85">
        <v>7</v>
      </c>
      <c r="AB85" t="str">
        <f t="shared" si="1"/>
        <v>Jul</v>
      </c>
    </row>
    <row r="86" spans="1:28" x14ac:dyDescent="0.35">
      <c r="A86" t="s">
        <v>134</v>
      </c>
      <c r="B86">
        <v>61</v>
      </c>
      <c r="C86" t="s">
        <v>24</v>
      </c>
      <c r="D86" t="s">
        <v>53</v>
      </c>
      <c r="E86" t="s">
        <v>17</v>
      </c>
      <c r="F86" t="s">
        <v>56</v>
      </c>
      <c r="G86" s="1">
        <v>46022</v>
      </c>
      <c r="H86" s="1">
        <v>46042</v>
      </c>
      <c r="I86" s="4">
        <v>119335</v>
      </c>
      <c r="J86" t="s">
        <v>61</v>
      </c>
      <c r="K86" t="s">
        <v>20</v>
      </c>
      <c r="L86" t="s">
        <v>21</v>
      </c>
      <c r="M86" t="s">
        <v>64</v>
      </c>
      <c r="N86">
        <v>3</v>
      </c>
      <c r="X86">
        <v>12</v>
      </c>
      <c r="AB86" t="str">
        <f t="shared" si="1"/>
        <v>Dec</v>
      </c>
    </row>
    <row r="87" spans="1:28" x14ac:dyDescent="0.35">
      <c r="A87" t="s">
        <v>135</v>
      </c>
      <c r="B87">
        <v>41</v>
      </c>
      <c r="C87" t="s">
        <v>15</v>
      </c>
      <c r="D87" t="s">
        <v>45</v>
      </c>
      <c r="E87" t="s">
        <v>35</v>
      </c>
      <c r="F87" t="s">
        <v>18</v>
      </c>
      <c r="G87" s="1">
        <v>45331</v>
      </c>
      <c r="H87" s="1">
        <v>45351</v>
      </c>
      <c r="I87" s="4">
        <v>93312</v>
      </c>
      <c r="J87" t="s">
        <v>37</v>
      </c>
      <c r="K87" t="s">
        <v>42</v>
      </c>
      <c r="L87" t="s">
        <v>33</v>
      </c>
      <c r="M87" t="s">
        <v>38</v>
      </c>
      <c r="N87">
        <v>5</v>
      </c>
      <c r="X87">
        <v>2</v>
      </c>
      <c r="AB87" t="str">
        <f t="shared" si="1"/>
        <v>Feb</v>
      </c>
    </row>
    <row r="88" spans="1:28" x14ac:dyDescent="0.35">
      <c r="A88" t="s">
        <v>136</v>
      </c>
      <c r="B88">
        <v>49</v>
      </c>
      <c r="C88" t="s">
        <v>24</v>
      </c>
      <c r="D88" t="s">
        <v>25</v>
      </c>
      <c r="E88" t="s">
        <v>32</v>
      </c>
      <c r="F88" t="s">
        <v>41</v>
      </c>
      <c r="G88" s="1">
        <v>45671</v>
      </c>
      <c r="H88" s="1">
        <v>45678</v>
      </c>
      <c r="I88" s="4">
        <v>155035</v>
      </c>
      <c r="J88" t="s">
        <v>28</v>
      </c>
      <c r="K88" t="s">
        <v>20</v>
      </c>
      <c r="L88" t="s">
        <v>48</v>
      </c>
      <c r="M88" t="s">
        <v>64</v>
      </c>
      <c r="N88">
        <v>4</v>
      </c>
      <c r="X88">
        <v>1</v>
      </c>
      <c r="AB88" t="str">
        <f t="shared" si="1"/>
        <v>Jan</v>
      </c>
    </row>
    <row r="89" spans="1:28" x14ac:dyDescent="0.35">
      <c r="A89" t="s">
        <v>137</v>
      </c>
      <c r="B89">
        <v>71</v>
      </c>
      <c r="C89" t="s">
        <v>24</v>
      </c>
      <c r="D89" t="s">
        <v>25</v>
      </c>
      <c r="E89" t="s">
        <v>51</v>
      </c>
      <c r="F89" t="s">
        <v>18</v>
      </c>
      <c r="G89" s="1">
        <v>45545</v>
      </c>
      <c r="H89" s="1">
        <v>45560</v>
      </c>
      <c r="I89" s="4">
        <v>221059</v>
      </c>
      <c r="J89" t="s">
        <v>37</v>
      </c>
      <c r="K89" t="s">
        <v>63</v>
      </c>
      <c r="L89" t="s">
        <v>33</v>
      </c>
      <c r="M89" t="s">
        <v>22</v>
      </c>
      <c r="N89">
        <v>1</v>
      </c>
      <c r="X89">
        <v>9</v>
      </c>
      <c r="AB89" t="str">
        <f t="shared" si="1"/>
        <v>Sep</v>
      </c>
    </row>
    <row r="90" spans="1:28" x14ac:dyDescent="0.35">
      <c r="A90" t="s">
        <v>138</v>
      </c>
      <c r="B90">
        <v>34</v>
      </c>
      <c r="C90" t="s">
        <v>24</v>
      </c>
      <c r="D90" t="s">
        <v>25</v>
      </c>
      <c r="E90" t="s">
        <v>40</v>
      </c>
      <c r="F90" t="s">
        <v>36</v>
      </c>
      <c r="G90" s="1">
        <v>45481</v>
      </c>
      <c r="H90" s="1">
        <v>45486</v>
      </c>
      <c r="I90" s="4">
        <v>170154</v>
      </c>
      <c r="J90" t="s">
        <v>61</v>
      </c>
      <c r="K90" t="s">
        <v>42</v>
      </c>
      <c r="L90" t="s">
        <v>33</v>
      </c>
      <c r="M90" t="s">
        <v>64</v>
      </c>
      <c r="N90">
        <v>3</v>
      </c>
      <c r="X90">
        <v>7</v>
      </c>
      <c r="AB90" t="str">
        <f t="shared" si="1"/>
        <v>Jul</v>
      </c>
    </row>
    <row r="91" spans="1:28" x14ac:dyDescent="0.35">
      <c r="A91" t="s">
        <v>139</v>
      </c>
      <c r="B91">
        <v>39</v>
      </c>
      <c r="C91" t="s">
        <v>15</v>
      </c>
      <c r="D91" t="s">
        <v>31</v>
      </c>
      <c r="E91" t="s">
        <v>40</v>
      </c>
      <c r="F91" t="s">
        <v>56</v>
      </c>
      <c r="G91" s="1">
        <v>45425</v>
      </c>
      <c r="H91" s="1">
        <v>45435</v>
      </c>
      <c r="I91" s="4">
        <v>121329</v>
      </c>
      <c r="J91" t="s">
        <v>61</v>
      </c>
      <c r="K91" t="s">
        <v>29</v>
      </c>
      <c r="L91" t="s">
        <v>33</v>
      </c>
      <c r="M91" t="s">
        <v>38</v>
      </c>
      <c r="N91">
        <v>2</v>
      </c>
      <c r="X91">
        <v>5</v>
      </c>
      <c r="AB91" t="str">
        <f t="shared" si="1"/>
        <v>May</v>
      </c>
    </row>
    <row r="92" spans="1:28" x14ac:dyDescent="0.35">
      <c r="A92" t="s">
        <v>140</v>
      </c>
      <c r="B92">
        <v>76</v>
      </c>
      <c r="C92" t="s">
        <v>24</v>
      </c>
      <c r="D92" t="s">
        <v>58</v>
      </c>
      <c r="E92" t="s">
        <v>32</v>
      </c>
      <c r="F92" t="s">
        <v>27</v>
      </c>
      <c r="G92" s="1">
        <v>45977</v>
      </c>
      <c r="H92" s="1">
        <v>45983</v>
      </c>
      <c r="I92" s="4">
        <v>50938</v>
      </c>
      <c r="J92" t="s">
        <v>28</v>
      </c>
      <c r="K92" t="s">
        <v>29</v>
      </c>
      <c r="L92" t="s">
        <v>21</v>
      </c>
      <c r="M92" t="s">
        <v>64</v>
      </c>
      <c r="N92">
        <v>5</v>
      </c>
      <c r="X92">
        <v>11</v>
      </c>
      <c r="AB92" t="str">
        <f t="shared" si="1"/>
        <v>Nov</v>
      </c>
    </row>
    <row r="93" spans="1:28" x14ac:dyDescent="0.35">
      <c r="A93" t="s">
        <v>141</v>
      </c>
      <c r="B93">
        <v>80</v>
      </c>
      <c r="C93" t="s">
        <v>24</v>
      </c>
      <c r="D93" t="s">
        <v>31</v>
      </c>
      <c r="E93" t="s">
        <v>35</v>
      </c>
      <c r="F93" t="s">
        <v>18</v>
      </c>
      <c r="G93" s="1">
        <v>45938</v>
      </c>
      <c r="H93" s="1">
        <v>45941</v>
      </c>
      <c r="I93" s="4">
        <v>111143</v>
      </c>
      <c r="J93" t="s">
        <v>19</v>
      </c>
      <c r="K93" t="s">
        <v>29</v>
      </c>
      <c r="L93" t="s">
        <v>33</v>
      </c>
      <c r="M93" t="s">
        <v>38</v>
      </c>
      <c r="N93">
        <v>1</v>
      </c>
      <c r="X93">
        <v>10</v>
      </c>
      <c r="AB93" t="str">
        <f t="shared" si="1"/>
        <v>Oct</v>
      </c>
    </row>
    <row r="94" spans="1:28" x14ac:dyDescent="0.35">
      <c r="A94" t="s">
        <v>142</v>
      </c>
      <c r="B94">
        <v>45</v>
      </c>
      <c r="C94" t="s">
        <v>24</v>
      </c>
      <c r="D94" t="s">
        <v>31</v>
      </c>
      <c r="E94" t="s">
        <v>51</v>
      </c>
      <c r="F94" t="s">
        <v>56</v>
      </c>
      <c r="G94" s="1">
        <v>45577</v>
      </c>
      <c r="H94" s="1">
        <v>45587</v>
      </c>
      <c r="I94" s="4">
        <v>152076</v>
      </c>
      <c r="J94" t="s">
        <v>19</v>
      </c>
      <c r="K94" t="s">
        <v>20</v>
      </c>
      <c r="L94" t="s">
        <v>21</v>
      </c>
      <c r="M94" t="s">
        <v>38</v>
      </c>
      <c r="N94">
        <v>2</v>
      </c>
      <c r="X94">
        <v>10</v>
      </c>
      <c r="AB94" t="str">
        <f t="shared" si="1"/>
        <v>Oct</v>
      </c>
    </row>
    <row r="95" spans="1:28" x14ac:dyDescent="0.35">
      <c r="A95" t="s">
        <v>143</v>
      </c>
      <c r="B95">
        <v>36</v>
      </c>
      <c r="C95" t="s">
        <v>15</v>
      </c>
      <c r="D95" t="s">
        <v>45</v>
      </c>
      <c r="E95" t="s">
        <v>35</v>
      </c>
      <c r="F95" t="s">
        <v>41</v>
      </c>
      <c r="G95" s="1">
        <v>45572</v>
      </c>
      <c r="H95" s="1">
        <v>45590</v>
      </c>
      <c r="I95" s="4">
        <v>6486</v>
      </c>
      <c r="J95" t="s">
        <v>28</v>
      </c>
      <c r="K95" t="s">
        <v>29</v>
      </c>
      <c r="L95" t="s">
        <v>46</v>
      </c>
      <c r="M95" t="s">
        <v>64</v>
      </c>
      <c r="N95">
        <v>4</v>
      </c>
      <c r="X95">
        <v>10</v>
      </c>
      <c r="AB95" t="str">
        <f t="shared" si="1"/>
        <v>Oct</v>
      </c>
    </row>
    <row r="96" spans="1:28" x14ac:dyDescent="0.35">
      <c r="A96" t="s">
        <v>144</v>
      </c>
      <c r="B96">
        <v>69</v>
      </c>
      <c r="C96" t="s">
        <v>15</v>
      </c>
      <c r="D96" t="s">
        <v>50</v>
      </c>
      <c r="E96" t="s">
        <v>51</v>
      </c>
      <c r="F96" t="s">
        <v>36</v>
      </c>
      <c r="G96" s="1">
        <v>45731</v>
      </c>
      <c r="H96" s="1">
        <v>45751</v>
      </c>
      <c r="I96" s="4">
        <v>236034</v>
      </c>
      <c r="J96" t="s">
        <v>28</v>
      </c>
      <c r="K96" t="s">
        <v>63</v>
      </c>
      <c r="L96" t="s">
        <v>43</v>
      </c>
      <c r="M96" t="s">
        <v>38</v>
      </c>
      <c r="N96">
        <v>1</v>
      </c>
      <c r="X96">
        <v>3</v>
      </c>
      <c r="AB96" t="str">
        <f t="shared" si="1"/>
        <v>Mar</v>
      </c>
    </row>
    <row r="97" spans="1:28" x14ac:dyDescent="0.35">
      <c r="A97" t="s">
        <v>145</v>
      </c>
      <c r="B97">
        <v>37</v>
      </c>
      <c r="C97" t="s">
        <v>15</v>
      </c>
      <c r="D97" t="s">
        <v>50</v>
      </c>
      <c r="E97" t="s">
        <v>35</v>
      </c>
      <c r="F97" t="s">
        <v>27</v>
      </c>
      <c r="G97" s="1">
        <v>45446</v>
      </c>
      <c r="H97" s="1">
        <v>45452</v>
      </c>
      <c r="I97" s="4">
        <v>179738</v>
      </c>
      <c r="J97" t="s">
        <v>61</v>
      </c>
      <c r="K97" t="s">
        <v>63</v>
      </c>
      <c r="L97" t="s">
        <v>48</v>
      </c>
      <c r="M97" t="s">
        <v>64</v>
      </c>
      <c r="N97">
        <v>2</v>
      </c>
      <c r="X97">
        <v>6</v>
      </c>
      <c r="AB97" t="str">
        <f t="shared" si="1"/>
        <v>Jun</v>
      </c>
    </row>
    <row r="98" spans="1:28" x14ac:dyDescent="0.35">
      <c r="A98" t="s">
        <v>146</v>
      </c>
      <c r="B98">
        <v>80</v>
      </c>
      <c r="C98" t="s">
        <v>15</v>
      </c>
      <c r="D98" t="s">
        <v>25</v>
      </c>
      <c r="E98" t="s">
        <v>32</v>
      </c>
      <c r="F98" t="s">
        <v>27</v>
      </c>
      <c r="G98" s="1">
        <v>45814</v>
      </c>
      <c r="H98" s="1">
        <v>45829</v>
      </c>
      <c r="I98" s="4">
        <v>237932</v>
      </c>
      <c r="J98" t="s">
        <v>28</v>
      </c>
      <c r="K98" t="s">
        <v>29</v>
      </c>
      <c r="L98" t="s">
        <v>43</v>
      </c>
      <c r="M98" t="s">
        <v>22</v>
      </c>
      <c r="N98">
        <v>4</v>
      </c>
      <c r="X98">
        <v>6</v>
      </c>
      <c r="AB98" t="str">
        <f t="shared" si="1"/>
        <v>Jun</v>
      </c>
    </row>
    <row r="99" spans="1:28" x14ac:dyDescent="0.35">
      <c r="A99" t="s">
        <v>147</v>
      </c>
      <c r="B99">
        <v>52</v>
      </c>
      <c r="C99" t="s">
        <v>15</v>
      </c>
      <c r="D99" t="s">
        <v>53</v>
      </c>
      <c r="E99" t="s">
        <v>17</v>
      </c>
      <c r="F99" t="s">
        <v>36</v>
      </c>
      <c r="G99" s="1">
        <v>45516</v>
      </c>
      <c r="H99" s="1">
        <v>45521</v>
      </c>
      <c r="I99" s="4">
        <v>24854</v>
      </c>
      <c r="J99" t="s">
        <v>61</v>
      </c>
      <c r="K99" t="s">
        <v>20</v>
      </c>
      <c r="L99" t="s">
        <v>33</v>
      </c>
      <c r="M99" t="s">
        <v>22</v>
      </c>
      <c r="N99">
        <v>1</v>
      </c>
      <c r="X99">
        <v>8</v>
      </c>
      <c r="AB99" t="str">
        <f t="shared" si="1"/>
        <v>Aug</v>
      </c>
    </row>
    <row r="100" spans="1:28" x14ac:dyDescent="0.35">
      <c r="A100" t="s">
        <v>148</v>
      </c>
      <c r="B100">
        <v>20</v>
      </c>
      <c r="C100" t="s">
        <v>24</v>
      </c>
      <c r="D100" t="s">
        <v>53</v>
      </c>
      <c r="E100" t="s">
        <v>40</v>
      </c>
      <c r="F100" t="s">
        <v>56</v>
      </c>
      <c r="G100" s="1">
        <v>45489</v>
      </c>
      <c r="H100" s="1">
        <v>45508</v>
      </c>
      <c r="I100" s="4">
        <v>182490</v>
      </c>
      <c r="J100" t="s">
        <v>19</v>
      </c>
      <c r="K100" t="s">
        <v>20</v>
      </c>
      <c r="L100" t="s">
        <v>43</v>
      </c>
      <c r="M100" t="s">
        <v>22</v>
      </c>
      <c r="N100">
        <v>1</v>
      </c>
      <c r="X100">
        <v>7</v>
      </c>
      <c r="AB100" t="str">
        <f t="shared" si="1"/>
        <v>Jul</v>
      </c>
    </row>
    <row r="101" spans="1:28" x14ac:dyDescent="0.35">
      <c r="A101" t="s">
        <v>149</v>
      </c>
      <c r="B101">
        <v>48</v>
      </c>
      <c r="C101" t="s">
        <v>24</v>
      </c>
      <c r="D101" t="s">
        <v>58</v>
      </c>
      <c r="E101" t="s">
        <v>40</v>
      </c>
      <c r="F101" t="s">
        <v>18</v>
      </c>
      <c r="G101" s="1">
        <v>45563</v>
      </c>
      <c r="H101" s="1">
        <v>45566</v>
      </c>
      <c r="I101" s="4">
        <v>194925</v>
      </c>
      <c r="J101" t="s">
        <v>61</v>
      </c>
      <c r="K101" t="s">
        <v>63</v>
      </c>
      <c r="L101" t="s">
        <v>46</v>
      </c>
      <c r="M101" t="s">
        <v>64</v>
      </c>
      <c r="N101">
        <v>5</v>
      </c>
      <c r="X101">
        <v>9</v>
      </c>
      <c r="AB101" t="str">
        <f t="shared" si="1"/>
        <v>Sep</v>
      </c>
    </row>
    <row r="102" spans="1:28" x14ac:dyDescent="0.35">
      <c r="A102" t="s">
        <v>150</v>
      </c>
      <c r="B102">
        <v>41</v>
      </c>
      <c r="C102" t="s">
        <v>24</v>
      </c>
      <c r="D102" t="s">
        <v>31</v>
      </c>
      <c r="E102" t="s">
        <v>40</v>
      </c>
      <c r="F102" t="s">
        <v>36</v>
      </c>
      <c r="G102" s="1">
        <v>45729</v>
      </c>
      <c r="H102" s="1">
        <v>45735</v>
      </c>
      <c r="I102" s="4">
        <v>205022</v>
      </c>
      <c r="J102" t="s">
        <v>19</v>
      </c>
      <c r="K102" t="s">
        <v>20</v>
      </c>
      <c r="L102" t="s">
        <v>33</v>
      </c>
      <c r="M102" t="s">
        <v>64</v>
      </c>
      <c r="N102">
        <v>1</v>
      </c>
      <c r="X102">
        <v>3</v>
      </c>
      <c r="AB102" t="str">
        <f t="shared" si="1"/>
        <v>Mar</v>
      </c>
    </row>
    <row r="103" spans="1:28" x14ac:dyDescent="0.35">
      <c r="A103" t="s">
        <v>151</v>
      </c>
      <c r="B103">
        <v>23</v>
      </c>
      <c r="C103" t="s">
        <v>15</v>
      </c>
      <c r="D103" t="s">
        <v>45</v>
      </c>
      <c r="E103" t="s">
        <v>51</v>
      </c>
      <c r="F103" t="s">
        <v>41</v>
      </c>
      <c r="G103" s="1">
        <v>45434</v>
      </c>
      <c r="H103" s="1">
        <v>45453</v>
      </c>
      <c r="I103" s="4">
        <v>219879</v>
      </c>
      <c r="J103" t="s">
        <v>28</v>
      </c>
      <c r="K103" t="s">
        <v>29</v>
      </c>
      <c r="L103" t="s">
        <v>21</v>
      </c>
      <c r="M103" t="s">
        <v>22</v>
      </c>
      <c r="N103">
        <v>5</v>
      </c>
      <c r="X103">
        <v>5</v>
      </c>
      <c r="AB103" t="str">
        <f t="shared" si="1"/>
        <v>May</v>
      </c>
    </row>
    <row r="104" spans="1:28" x14ac:dyDescent="0.35">
      <c r="A104" t="s">
        <v>152</v>
      </c>
      <c r="B104">
        <v>44</v>
      </c>
      <c r="C104" t="s">
        <v>15</v>
      </c>
      <c r="D104" t="s">
        <v>25</v>
      </c>
      <c r="E104" t="s">
        <v>26</v>
      </c>
      <c r="F104" t="s">
        <v>27</v>
      </c>
      <c r="G104" s="1">
        <v>45723</v>
      </c>
      <c r="H104" s="1">
        <v>45734</v>
      </c>
      <c r="I104" s="4">
        <v>128350</v>
      </c>
      <c r="J104" t="s">
        <v>28</v>
      </c>
      <c r="K104" t="s">
        <v>20</v>
      </c>
      <c r="L104" t="s">
        <v>33</v>
      </c>
      <c r="M104" t="s">
        <v>64</v>
      </c>
      <c r="N104">
        <v>2</v>
      </c>
      <c r="X104">
        <v>3</v>
      </c>
      <c r="AB104" t="str">
        <f t="shared" si="1"/>
        <v>Mar</v>
      </c>
    </row>
    <row r="105" spans="1:28" x14ac:dyDescent="0.35">
      <c r="A105" t="s">
        <v>153</v>
      </c>
      <c r="B105">
        <v>68</v>
      </c>
      <c r="C105" t="s">
        <v>15</v>
      </c>
      <c r="D105" t="s">
        <v>16</v>
      </c>
      <c r="E105" t="s">
        <v>32</v>
      </c>
      <c r="F105" t="s">
        <v>27</v>
      </c>
      <c r="G105" s="1">
        <v>45346</v>
      </c>
      <c r="H105" s="1">
        <v>45363</v>
      </c>
      <c r="I105" s="4">
        <v>128391</v>
      </c>
      <c r="J105" t="s">
        <v>28</v>
      </c>
      <c r="K105" t="s">
        <v>29</v>
      </c>
      <c r="L105" t="s">
        <v>46</v>
      </c>
      <c r="M105" t="s">
        <v>64</v>
      </c>
      <c r="N105">
        <v>3</v>
      </c>
      <c r="X105">
        <v>2</v>
      </c>
      <c r="AB105" t="str">
        <f t="shared" si="1"/>
        <v>Feb</v>
      </c>
    </row>
    <row r="106" spans="1:28" x14ac:dyDescent="0.35">
      <c r="A106" t="s">
        <v>154</v>
      </c>
      <c r="B106">
        <v>36</v>
      </c>
      <c r="C106" t="s">
        <v>24</v>
      </c>
      <c r="D106" t="s">
        <v>45</v>
      </c>
      <c r="E106" t="s">
        <v>32</v>
      </c>
      <c r="F106" t="s">
        <v>18</v>
      </c>
      <c r="G106" s="1">
        <v>45652</v>
      </c>
      <c r="H106" s="1">
        <v>45670</v>
      </c>
      <c r="I106" s="4">
        <v>29730</v>
      </c>
      <c r="J106" t="s">
        <v>37</v>
      </c>
      <c r="K106" t="s">
        <v>63</v>
      </c>
      <c r="L106" t="s">
        <v>46</v>
      </c>
      <c r="M106" t="s">
        <v>22</v>
      </c>
      <c r="N106">
        <v>4</v>
      </c>
      <c r="X106">
        <v>12</v>
      </c>
      <c r="AB106" t="str">
        <f t="shared" si="1"/>
        <v>Dec</v>
      </c>
    </row>
    <row r="107" spans="1:28" x14ac:dyDescent="0.35">
      <c r="A107" t="s">
        <v>155</v>
      </c>
      <c r="B107">
        <v>20</v>
      </c>
      <c r="C107" t="s">
        <v>15</v>
      </c>
      <c r="D107" t="s">
        <v>50</v>
      </c>
      <c r="E107" t="s">
        <v>32</v>
      </c>
      <c r="F107" t="s">
        <v>18</v>
      </c>
      <c r="G107" s="1">
        <v>45995</v>
      </c>
      <c r="H107" s="1">
        <v>46013</v>
      </c>
      <c r="I107" s="4">
        <v>210584</v>
      </c>
      <c r="J107" t="s">
        <v>61</v>
      </c>
      <c r="K107" t="s">
        <v>20</v>
      </c>
      <c r="L107" t="s">
        <v>43</v>
      </c>
      <c r="M107" t="s">
        <v>64</v>
      </c>
      <c r="N107">
        <v>1</v>
      </c>
      <c r="X107">
        <v>12</v>
      </c>
      <c r="AB107" t="str">
        <f t="shared" si="1"/>
        <v>Dec</v>
      </c>
    </row>
    <row r="108" spans="1:28" x14ac:dyDescent="0.35">
      <c r="A108" t="s">
        <v>156</v>
      </c>
      <c r="B108">
        <v>40</v>
      </c>
      <c r="C108" t="s">
        <v>15</v>
      </c>
      <c r="D108" t="s">
        <v>45</v>
      </c>
      <c r="E108" t="s">
        <v>35</v>
      </c>
      <c r="F108" t="s">
        <v>56</v>
      </c>
      <c r="G108" s="1">
        <v>45621</v>
      </c>
      <c r="H108" s="1">
        <v>45627</v>
      </c>
      <c r="I108" s="4">
        <v>241059</v>
      </c>
      <c r="J108" t="s">
        <v>28</v>
      </c>
      <c r="K108" t="s">
        <v>20</v>
      </c>
      <c r="L108" t="s">
        <v>48</v>
      </c>
      <c r="M108" t="s">
        <v>22</v>
      </c>
      <c r="N108">
        <v>4</v>
      </c>
      <c r="X108">
        <v>11</v>
      </c>
      <c r="AB108" t="str">
        <f t="shared" si="1"/>
        <v>Nov</v>
      </c>
    </row>
    <row r="109" spans="1:28" x14ac:dyDescent="0.35">
      <c r="A109" t="s">
        <v>157</v>
      </c>
      <c r="B109">
        <v>45</v>
      </c>
      <c r="C109" t="s">
        <v>15</v>
      </c>
      <c r="D109" t="s">
        <v>58</v>
      </c>
      <c r="E109" t="s">
        <v>17</v>
      </c>
      <c r="F109" t="s">
        <v>41</v>
      </c>
      <c r="G109" s="1">
        <v>45336</v>
      </c>
      <c r="H109" s="1">
        <v>45355</v>
      </c>
      <c r="I109" s="4">
        <v>79031</v>
      </c>
      <c r="J109" t="s">
        <v>61</v>
      </c>
      <c r="K109" t="s">
        <v>63</v>
      </c>
      <c r="L109" t="s">
        <v>33</v>
      </c>
      <c r="M109" t="s">
        <v>38</v>
      </c>
      <c r="N109">
        <v>3</v>
      </c>
      <c r="X109">
        <v>2</v>
      </c>
      <c r="AB109" t="str">
        <f t="shared" si="1"/>
        <v>Feb</v>
      </c>
    </row>
    <row r="110" spans="1:28" x14ac:dyDescent="0.35">
      <c r="A110" t="s">
        <v>158</v>
      </c>
      <c r="B110">
        <v>19</v>
      </c>
      <c r="C110" t="s">
        <v>15</v>
      </c>
      <c r="D110" t="s">
        <v>53</v>
      </c>
      <c r="E110" t="s">
        <v>32</v>
      </c>
      <c r="F110" t="s">
        <v>56</v>
      </c>
      <c r="G110" s="1">
        <v>45547</v>
      </c>
      <c r="H110" s="1">
        <v>45565</v>
      </c>
      <c r="I110" s="4">
        <v>144750</v>
      </c>
      <c r="J110" t="s">
        <v>19</v>
      </c>
      <c r="K110" t="s">
        <v>42</v>
      </c>
      <c r="L110" t="s">
        <v>48</v>
      </c>
      <c r="M110" t="s">
        <v>38</v>
      </c>
      <c r="N110">
        <v>4</v>
      </c>
      <c r="X110">
        <v>9</v>
      </c>
      <c r="AB110" t="str">
        <f t="shared" si="1"/>
        <v>Sep</v>
      </c>
    </row>
    <row r="111" spans="1:28" x14ac:dyDescent="0.35">
      <c r="A111" t="s">
        <v>159</v>
      </c>
      <c r="B111">
        <v>42</v>
      </c>
      <c r="C111" t="s">
        <v>15</v>
      </c>
      <c r="D111" t="s">
        <v>31</v>
      </c>
      <c r="E111" t="s">
        <v>32</v>
      </c>
      <c r="F111" t="s">
        <v>18</v>
      </c>
      <c r="G111" s="1">
        <v>45424</v>
      </c>
      <c r="H111" s="1">
        <v>45442</v>
      </c>
      <c r="I111" s="4">
        <v>114721</v>
      </c>
      <c r="J111" t="s">
        <v>28</v>
      </c>
      <c r="K111" t="s">
        <v>29</v>
      </c>
      <c r="L111" t="s">
        <v>48</v>
      </c>
      <c r="M111" t="s">
        <v>38</v>
      </c>
      <c r="N111">
        <v>1</v>
      </c>
      <c r="X111">
        <v>5</v>
      </c>
      <c r="AB111" t="str">
        <f t="shared" si="1"/>
        <v>May</v>
      </c>
    </row>
    <row r="112" spans="1:28" x14ac:dyDescent="0.35">
      <c r="A112" t="s">
        <v>160</v>
      </c>
      <c r="B112">
        <v>35</v>
      </c>
      <c r="C112" t="s">
        <v>15</v>
      </c>
      <c r="D112" t="s">
        <v>50</v>
      </c>
      <c r="E112" t="s">
        <v>26</v>
      </c>
      <c r="F112" t="s">
        <v>27</v>
      </c>
      <c r="G112" s="1">
        <v>45633</v>
      </c>
      <c r="H112" s="1">
        <v>45653</v>
      </c>
      <c r="I112" s="4">
        <v>124328</v>
      </c>
      <c r="J112" t="s">
        <v>37</v>
      </c>
      <c r="K112" t="s">
        <v>29</v>
      </c>
      <c r="L112" t="s">
        <v>48</v>
      </c>
      <c r="M112" t="s">
        <v>38</v>
      </c>
      <c r="N112">
        <v>5</v>
      </c>
      <c r="X112">
        <v>12</v>
      </c>
      <c r="AB112" t="str">
        <f t="shared" si="1"/>
        <v>Dec</v>
      </c>
    </row>
    <row r="113" spans="1:28" x14ac:dyDescent="0.35">
      <c r="A113" t="s">
        <v>161</v>
      </c>
      <c r="B113">
        <v>83</v>
      </c>
      <c r="C113" t="s">
        <v>24</v>
      </c>
      <c r="D113" t="s">
        <v>45</v>
      </c>
      <c r="E113" t="s">
        <v>51</v>
      </c>
      <c r="F113" t="s">
        <v>56</v>
      </c>
      <c r="G113" s="1">
        <v>45394</v>
      </c>
      <c r="H113" s="1">
        <v>45407</v>
      </c>
      <c r="I113" s="4">
        <v>68052</v>
      </c>
      <c r="J113" t="s">
        <v>37</v>
      </c>
      <c r="K113" t="s">
        <v>20</v>
      </c>
      <c r="L113" t="s">
        <v>21</v>
      </c>
      <c r="M113" t="s">
        <v>22</v>
      </c>
      <c r="N113">
        <v>5</v>
      </c>
      <c r="X113">
        <v>4</v>
      </c>
      <c r="AB113" t="str">
        <f t="shared" si="1"/>
        <v>Apr</v>
      </c>
    </row>
    <row r="114" spans="1:28" x14ac:dyDescent="0.35">
      <c r="A114" t="s">
        <v>162</v>
      </c>
      <c r="B114">
        <v>35</v>
      </c>
      <c r="C114" t="s">
        <v>15</v>
      </c>
      <c r="D114" t="s">
        <v>58</v>
      </c>
      <c r="E114" t="s">
        <v>40</v>
      </c>
      <c r="F114" t="s">
        <v>56</v>
      </c>
      <c r="G114" s="1">
        <v>45500</v>
      </c>
      <c r="H114" s="1">
        <v>45505</v>
      </c>
      <c r="I114" s="4">
        <v>105788</v>
      </c>
      <c r="J114" t="s">
        <v>37</v>
      </c>
      <c r="K114" t="s">
        <v>63</v>
      </c>
      <c r="L114" t="s">
        <v>21</v>
      </c>
      <c r="M114" t="s">
        <v>64</v>
      </c>
      <c r="N114">
        <v>4</v>
      </c>
      <c r="X114">
        <v>7</v>
      </c>
      <c r="AB114" t="str">
        <f t="shared" si="1"/>
        <v>Jul</v>
      </c>
    </row>
    <row r="115" spans="1:28" x14ac:dyDescent="0.35">
      <c r="A115" t="s">
        <v>163</v>
      </c>
      <c r="B115">
        <v>83</v>
      </c>
      <c r="C115" t="s">
        <v>24</v>
      </c>
      <c r="D115" t="s">
        <v>45</v>
      </c>
      <c r="E115" t="s">
        <v>26</v>
      </c>
      <c r="F115" t="s">
        <v>56</v>
      </c>
      <c r="G115" s="1">
        <v>45298</v>
      </c>
      <c r="H115" s="1">
        <v>45315</v>
      </c>
      <c r="I115" s="4">
        <v>118538</v>
      </c>
      <c r="J115" t="s">
        <v>37</v>
      </c>
      <c r="K115" t="s">
        <v>29</v>
      </c>
      <c r="L115" t="s">
        <v>48</v>
      </c>
      <c r="M115" t="s">
        <v>38</v>
      </c>
      <c r="N115">
        <v>2</v>
      </c>
      <c r="X115">
        <v>1</v>
      </c>
      <c r="AB115" t="str">
        <f t="shared" si="1"/>
        <v>Jan</v>
      </c>
    </row>
    <row r="116" spans="1:28" x14ac:dyDescent="0.35">
      <c r="A116" t="s">
        <v>164</v>
      </c>
      <c r="B116">
        <v>64</v>
      </c>
      <c r="C116" t="s">
        <v>15</v>
      </c>
      <c r="D116" t="s">
        <v>31</v>
      </c>
      <c r="E116" t="s">
        <v>17</v>
      </c>
      <c r="F116" t="s">
        <v>18</v>
      </c>
      <c r="G116" s="1">
        <v>46014</v>
      </c>
      <c r="H116" s="1">
        <v>46029</v>
      </c>
      <c r="I116" s="4">
        <v>225888</v>
      </c>
      <c r="J116" t="s">
        <v>61</v>
      </c>
      <c r="K116" t="s">
        <v>20</v>
      </c>
      <c r="L116" t="s">
        <v>21</v>
      </c>
      <c r="M116" t="s">
        <v>38</v>
      </c>
      <c r="N116">
        <v>4</v>
      </c>
      <c r="X116">
        <v>12</v>
      </c>
      <c r="AB116" t="str">
        <f t="shared" si="1"/>
        <v>Dec</v>
      </c>
    </row>
    <row r="117" spans="1:28" x14ac:dyDescent="0.35">
      <c r="A117" t="s">
        <v>165</v>
      </c>
      <c r="B117">
        <v>57</v>
      </c>
      <c r="C117" t="s">
        <v>15</v>
      </c>
      <c r="D117" t="s">
        <v>53</v>
      </c>
      <c r="E117" t="s">
        <v>32</v>
      </c>
      <c r="F117" t="s">
        <v>56</v>
      </c>
      <c r="G117" s="1">
        <v>45661</v>
      </c>
      <c r="H117" s="1">
        <v>45680</v>
      </c>
      <c r="I117" s="4">
        <v>167623</v>
      </c>
      <c r="J117" t="s">
        <v>28</v>
      </c>
      <c r="K117" t="s">
        <v>63</v>
      </c>
      <c r="L117" t="s">
        <v>48</v>
      </c>
      <c r="M117" t="s">
        <v>22</v>
      </c>
      <c r="N117">
        <v>5</v>
      </c>
      <c r="X117">
        <v>1</v>
      </c>
      <c r="AB117" t="str">
        <f t="shared" si="1"/>
        <v>Jan</v>
      </c>
    </row>
    <row r="118" spans="1:28" x14ac:dyDescent="0.35">
      <c r="A118" t="s">
        <v>166</v>
      </c>
      <c r="B118">
        <v>37</v>
      </c>
      <c r="C118" t="s">
        <v>15</v>
      </c>
      <c r="D118" t="s">
        <v>53</v>
      </c>
      <c r="E118" t="s">
        <v>40</v>
      </c>
      <c r="F118" t="s">
        <v>36</v>
      </c>
      <c r="G118" s="1">
        <v>45418</v>
      </c>
      <c r="H118" s="1">
        <v>45434</v>
      </c>
      <c r="I118" s="4">
        <v>178305</v>
      </c>
      <c r="J118" t="s">
        <v>28</v>
      </c>
      <c r="K118" t="s">
        <v>29</v>
      </c>
      <c r="L118" t="s">
        <v>21</v>
      </c>
      <c r="M118" t="s">
        <v>38</v>
      </c>
      <c r="N118">
        <v>5</v>
      </c>
      <c r="X118">
        <v>5</v>
      </c>
      <c r="AB118" t="str">
        <f t="shared" si="1"/>
        <v>May</v>
      </c>
    </row>
    <row r="119" spans="1:28" x14ac:dyDescent="0.35">
      <c r="A119" t="s">
        <v>167</v>
      </c>
      <c r="B119">
        <v>26</v>
      </c>
      <c r="C119" t="s">
        <v>24</v>
      </c>
      <c r="D119" t="s">
        <v>31</v>
      </c>
      <c r="E119" t="s">
        <v>35</v>
      </c>
      <c r="F119" t="s">
        <v>56</v>
      </c>
      <c r="G119" s="1">
        <v>45783</v>
      </c>
      <c r="H119" s="1">
        <v>45795</v>
      </c>
      <c r="I119" s="4">
        <v>20173</v>
      </c>
      <c r="J119" t="s">
        <v>19</v>
      </c>
      <c r="K119" t="s">
        <v>63</v>
      </c>
      <c r="L119" t="s">
        <v>33</v>
      </c>
      <c r="M119" t="s">
        <v>64</v>
      </c>
      <c r="N119">
        <v>1</v>
      </c>
      <c r="X119">
        <v>5</v>
      </c>
      <c r="AB119" t="str">
        <f t="shared" si="1"/>
        <v>May</v>
      </c>
    </row>
    <row r="120" spans="1:28" x14ac:dyDescent="0.35">
      <c r="A120" t="s">
        <v>168</v>
      </c>
      <c r="B120">
        <v>51</v>
      </c>
      <c r="C120" t="s">
        <v>24</v>
      </c>
      <c r="D120" t="s">
        <v>50</v>
      </c>
      <c r="E120" t="s">
        <v>40</v>
      </c>
      <c r="F120" t="s">
        <v>36</v>
      </c>
      <c r="G120" s="1">
        <v>45901</v>
      </c>
      <c r="H120" s="1">
        <v>45921</v>
      </c>
      <c r="I120" s="4">
        <v>226462</v>
      </c>
      <c r="J120" t="s">
        <v>61</v>
      </c>
      <c r="K120" t="s">
        <v>42</v>
      </c>
      <c r="L120" t="s">
        <v>46</v>
      </c>
      <c r="M120" t="s">
        <v>38</v>
      </c>
      <c r="N120">
        <v>2</v>
      </c>
      <c r="X120">
        <v>9</v>
      </c>
      <c r="AB120" t="str">
        <f t="shared" si="1"/>
        <v>Sep</v>
      </c>
    </row>
    <row r="121" spans="1:28" x14ac:dyDescent="0.35">
      <c r="A121" t="s">
        <v>169</v>
      </c>
      <c r="B121">
        <v>26</v>
      </c>
      <c r="C121" t="s">
        <v>15</v>
      </c>
      <c r="D121" t="s">
        <v>58</v>
      </c>
      <c r="E121" t="s">
        <v>32</v>
      </c>
      <c r="F121" t="s">
        <v>27</v>
      </c>
      <c r="G121" s="1">
        <v>45708</v>
      </c>
      <c r="H121" s="1">
        <v>45709</v>
      </c>
      <c r="I121" s="4">
        <v>234747</v>
      </c>
      <c r="J121" t="s">
        <v>37</v>
      </c>
      <c r="K121" t="s">
        <v>20</v>
      </c>
      <c r="L121" t="s">
        <v>48</v>
      </c>
      <c r="M121" t="s">
        <v>38</v>
      </c>
      <c r="N121">
        <v>2</v>
      </c>
      <c r="X121">
        <v>2</v>
      </c>
      <c r="AB121" t="str">
        <f t="shared" si="1"/>
        <v>Feb</v>
      </c>
    </row>
    <row r="122" spans="1:28" x14ac:dyDescent="0.35">
      <c r="A122" t="s">
        <v>170</v>
      </c>
      <c r="B122">
        <v>34</v>
      </c>
      <c r="C122" t="s">
        <v>24</v>
      </c>
      <c r="D122" t="s">
        <v>16</v>
      </c>
      <c r="E122" t="s">
        <v>40</v>
      </c>
      <c r="F122" t="s">
        <v>56</v>
      </c>
      <c r="G122" s="1">
        <v>45804</v>
      </c>
      <c r="H122" s="1">
        <v>45812</v>
      </c>
      <c r="I122" s="4">
        <v>146520</v>
      </c>
      <c r="J122" t="s">
        <v>37</v>
      </c>
      <c r="K122" t="s">
        <v>42</v>
      </c>
      <c r="L122" t="s">
        <v>43</v>
      </c>
      <c r="M122" t="s">
        <v>64</v>
      </c>
      <c r="N122">
        <v>2</v>
      </c>
      <c r="X122">
        <v>5</v>
      </c>
      <c r="AB122" t="str">
        <f t="shared" si="1"/>
        <v>May</v>
      </c>
    </row>
    <row r="123" spans="1:28" x14ac:dyDescent="0.35">
      <c r="A123" t="s">
        <v>171</v>
      </c>
      <c r="B123">
        <v>49</v>
      </c>
      <c r="C123" t="s">
        <v>24</v>
      </c>
      <c r="D123" t="s">
        <v>45</v>
      </c>
      <c r="E123" t="s">
        <v>35</v>
      </c>
      <c r="F123" t="s">
        <v>56</v>
      </c>
      <c r="G123" s="1">
        <v>45497</v>
      </c>
      <c r="H123" s="1">
        <v>45501</v>
      </c>
      <c r="I123" s="4">
        <v>70059</v>
      </c>
      <c r="J123" t="s">
        <v>19</v>
      </c>
      <c r="K123" t="s">
        <v>63</v>
      </c>
      <c r="L123" t="s">
        <v>46</v>
      </c>
      <c r="M123" t="s">
        <v>64</v>
      </c>
      <c r="N123">
        <v>3</v>
      </c>
      <c r="X123">
        <v>7</v>
      </c>
      <c r="AB123" t="str">
        <f t="shared" si="1"/>
        <v>Jul</v>
      </c>
    </row>
    <row r="124" spans="1:28" x14ac:dyDescent="0.35">
      <c r="A124" t="s">
        <v>172</v>
      </c>
      <c r="B124">
        <v>38</v>
      </c>
      <c r="C124" t="s">
        <v>24</v>
      </c>
      <c r="D124" t="s">
        <v>50</v>
      </c>
      <c r="E124" t="s">
        <v>40</v>
      </c>
      <c r="F124" t="s">
        <v>56</v>
      </c>
      <c r="G124" s="1">
        <v>45595</v>
      </c>
      <c r="H124" s="1">
        <v>45612</v>
      </c>
      <c r="I124" s="4">
        <v>220726</v>
      </c>
      <c r="J124" t="s">
        <v>61</v>
      </c>
      <c r="K124" t="s">
        <v>42</v>
      </c>
      <c r="L124" t="s">
        <v>21</v>
      </c>
      <c r="M124" t="s">
        <v>64</v>
      </c>
      <c r="N124">
        <v>1</v>
      </c>
      <c r="X124">
        <v>10</v>
      </c>
      <c r="AB124" t="str">
        <f t="shared" si="1"/>
        <v>Oct</v>
      </c>
    </row>
    <row r="125" spans="1:28" x14ac:dyDescent="0.35">
      <c r="A125" t="s">
        <v>173</v>
      </c>
      <c r="B125">
        <v>26</v>
      </c>
      <c r="C125" t="s">
        <v>24</v>
      </c>
      <c r="D125" t="s">
        <v>31</v>
      </c>
      <c r="E125" t="s">
        <v>51</v>
      </c>
      <c r="F125" t="s">
        <v>18</v>
      </c>
      <c r="G125" s="1">
        <v>45558</v>
      </c>
      <c r="H125" s="1">
        <v>45566</v>
      </c>
      <c r="I125" s="4">
        <v>144314</v>
      </c>
      <c r="J125" t="s">
        <v>28</v>
      </c>
      <c r="K125" t="s">
        <v>63</v>
      </c>
      <c r="L125" t="s">
        <v>46</v>
      </c>
      <c r="M125" t="s">
        <v>22</v>
      </c>
      <c r="N125">
        <v>1</v>
      </c>
      <c r="X125">
        <v>9</v>
      </c>
      <c r="AB125" t="str">
        <f t="shared" si="1"/>
        <v>Sep</v>
      </c>
    </row>
    <row r="126" spans="1:28" x14ac:dyDescent="0.35">
      <c r="A126" t="s">
        <v>174</v>
      </c>
      <c r="B126">
        <v>37</v>
      </c>
      <c r="C126" t="s">
        <v>15</v>
      </c>
      <c r="D126" t="s">
        <v>58</v>
      </c>
      <c r="E126" t="s">
        <v>35</v>
      </c>
      <c r="F126" t="s">
        <v>41</v>
      </c>
      <c r="G126" s="1">
        <v>45746</v>
      </c>
      <c r="H126" s="1">
        <v>45761</v>
      </c>
      <c r="I126" s="4">
        <v>10823</v>
      </c>
      <c r="J126" t="s">
        <v>61</v>
      </c>
      <c r="K126" t="s">
        <v>20</v>
      </c>
      <c r="L126" t="s">
        <v>43</v>
      </c>
      <c r="M126" t="s">
        <v>64</v>
      </c>
      <c r="N126">
        <v>1</v>
      </c>
      <c r="X126">
        <v>3</v>
      </c>
      <c r="AB126" t="str">
        <f t="shared" si="1"/>
        <v>Mar</v>
      </c>
    </row>
    <row r="127" spans="1:28" x14ac:dyDescent="0.35">
      <c r="A127" t="s">
        <v>175</v>
      </c>
      <c r="B127">
        <v>74</v>
      </c>
      <c r="C127" t="s">
        <v>15</v>
      </c>
      <c r="D127" t="s">
        <v>25</v>
      </c>
      <c r="E127" t="s">
        <v>40</v>
      </c>
      <c r="F127" t="s">
        <v>18</v>
      </c>
      <c r="G127" s="1">
        <v>45878</v>
      </c>
      <c r="H127" s="1">
        <v>45891</v>
      </c>
      <c r="I127" s="4">
        <v>62581</v>
      </c>
      <c r="J127" t="s">
        <v>61</v>
      </c>
      <c r="K127" t="s">
        <v>20</v>
      </c>
      <c r="L127" t="s">
        <v>33</v>
      </c>
      <c r="M127" t="s">
        <v>64</v>
      </c>
      <c r="N127">
        <v>1</v>
      </c>
      <c r="X127">
        <v>8</v>
      </c>
      <c r="AB127" t="str">
        <f t="shared" si="1"/>
        <v>Aug</v>
      </c>
    </row>
    <row r="128" spans="1:28" x14ac:dyDescent="0.35">
      <c r="A128" t="s">
        <v>176</v>
      </c>
      <c r="B128">
        <v>85</v>
      </c>
      <c r="C128" t="s">
        <v>24</v>
      </c>
      <c r="D128" t="s">
        <v>31</v>
      </c>
      <c r="E128" t="s">
        <v>40</v>
      </c>
      <c r="F128" t="s">
        <v>36</v>
      </c>
      <c r="G128" s="1">
        <v>45902</v>
      </c>
      <c r="H128" s="1">
        <v>45909</v>
      </c>
      <c r="I128" s="4">
        <v>92883</v>
      </c>
      <c r="J128" t="s">
        <v>37</v>
      </c>
      <c r="K128" t="s">
        <v>29</v>
      </c>
      <c r="L128" t="s">
        <v>21</v>
      </c>
      <c r="M128" t="s">
        <v>38</v>
      </c>
      <c r="N128">
        <v>5</v>
      </c>
      <c r="X128">
        <v>9</v>
      </c>
      <c r="AB128" t="str">
        <f t="shared" si="1"/>
        <v>Sep</v>
      </c>
    </row>
    <row r="129" spans="1:28" x14ac:dyDescent="0.35">
      <c r="A129" t="s">
        <v>177</v>
      </c>
      <c r="B129">
        <v>54</v>
      </c>
      <c r="C129" t="s">
        <v>15</v>
      </c>
      <c r="D129" t="s">
        <v>45</v>
      </c>
      <c r="E129" t="s">
        <v>40</v>
      </c>
      <c r="F129" t="s">
        <v>18</v>
      </c>
      <c r="G129" s="1">
        <v>45499</v>
      </c>
      <c r="H129" s="1">
        <v>45517</v>
      </c>
      <c r="I129" s="4">
        <v>213323</v>
      </c>
      <c r="J129" t="s">
        <v>37</v>
      </c>
      <c r="K129" t="s">
        <v>42</v>
      </c>
      <c r="L129" t="s">
        <v>33</v>
      </c>
      <c r="M129" t="s">
        <v>64</v>
      </c>
      <c r="N129">
        <v>3</v>
      </c>
      <c r="X129">
        <v>7</v>
      </c>
      <c r="AB129" t="str">
        <f t="shared" si="1"/>
        <v>Jul</v>
      </c>
    </row>
    <row r="130" spans="1:28" x14ac:dyDescent="0.35">
      <c r="A130" t="s">
        <v>178</v>
      </c>
      <c r="B130">
        <v>57</v>
      </c>
      <c r="C130" t="s">
        <v>15</v>
      </c>
      <c r="D130" t="s">
        <v>58</v>
      </c>
      <c r="E130" t="s">
        <v>26</v>
      </c>
      <c r="F130" t="s">
        <v>56</v>
      </c>
      <c r="G130" s="1">
        <v>45717</v>
      </c>
      <c r="H130" s="1">
        <v>45724</v>
      </c>
      <c r="I130" s="4">
        <v>240384</v>
      </c>
      <c r="J130" t="s">
        <v>19</v>
      </c>
      <c r="K130" t="s">
        <v>63</v>
      </c>
      <c r="L130" t="s">
        <v>33</v>
      </c>
      <c r="M130" t="s">
        <v>22</v>
      </c>
      <c r="N130">
        <v>4</v>
      </c>
      <c r="X130">
        <v>3</v>
      </c>
      <c r="AB130" t="str">
        <f t="shared" si="1"/>
        <v>Mar</v>
      </c>
    </row>
    <row r="131" spans="1:28" x14ac:dyDescent="0.35">
      <c r="A131" t="s">
        <v>179</v>
      </c>
      <c r="B131">
        <v>29</v>
      </c>
      <c r="C131" t="s">
        <v>24</v>
      </c>
      <c r="D131" t="s">
        <v>53</v>
      </c>
      <c r="E131" t="s">
        <v>40</v>
      </c>
      <c r="F131" t="s">
        <v>56</v>
      </c>
      <c r="G131" s="1">
        <v>45804</v>
      </c>
      <c r="H131" s="1">
        <v>45824</v>
      </c>
      <c r="I131" s="4">
        <v>112357</v>
      </c>
      <c r="J131" t="s">
        <v>28</v>
      </c>
      <c r="K131" t="s">
        <v>63</v>
      </c>
      <c r="L131" t="s">
        <v>43</v>
      </c>
      <c r="M131" t="s">
        <v>22</v>
      </c>
      <c r="N131">
        <v>2</v>
      </c>
      <c r="X131">
        <v>5</v>
      </c>
      <c r="AB131" t="str">
        <f t="shared" ref="AB131:AB194" si="2">TEXT(G131,"mmm")</f>
        <v>May</v>
      </c>
    </row>
    <row r="132" spans="1:28" x14ac:dyDescent="0.35">
      <c r="A132" t="s">
        <v>180</v>
      </c>
      <c r="B132">
        <v>40</v>
      </c>
      <c r="C132" t="s">
        <v>15</v>
      </c>
      <c r="D132" t="s">
        <v>25</v>
      </c>
      <c r="E132" t="s">
        <v>35</v>
      </c>
      <c r="F132" t="s">
        <v>36</v>
      </c>
      <c r="G132" s="1">
        <v>45727</v>
      </c>
      <c r="H132" s="1">
        <v>45738</v>
      </c>
      <c r="I132" s="4">
        <v>163416</v>
      </c>
      <c r="J132" t="s">
        <v>37</v>
      </c>
      <c r="K132" t="s">
        <v>63</v>
      </c>
      <c r="L132" t="s">
        <v>21</v>
      </c>
      <c r="M132" t="s">
        <v>38</v>
      </c>
      <c r="N132">
        <v>3</v>
      </c>
      <c r="X132">
        <v>3</v>
      </c>
      <c r="AB132" t="str">
        <f t="shared" si="2"/>
        <v>Mar</v>
      </c>
    </row>
    <row r="133" spans="1:28" x14ac:dyDescent="0.35">
      <c r="A133" t="s">
        <v>181</v>
      </c>
      <c r="B133">
        <v>25</v>
      </c>
      <c r="C133" t="s">
        <v>24</v>
      </c>
      <c r="D133" t="s">
        <v>53</v>
      </c>
      <c r="E133" t="s">
        <v>32</v>
      </c>
      <c r="F133" t="s">
        <v>18</v>
      </c>
      <c r="G133" s="1">
        <v>45566</v>
      </c>
      <c r="H133" s="1">
        <v>45582</v>
      </c>
      <c r="I133" s="4">
        <v>30976</v>
      </c>
      <c r="J133" t="s">
        <v>19</v>
      </c>
      <c r="K133" t="s">
        <v>63</v>
      </c>
      <c r="L133" t="s">
        <v>33</v>
      </c>
      <c r="M133" t="s">
        <v>64</v>
      </c>
      <c r="N133">
        <v>5</v>
      </c>
      <c r="X133">
        <v>10</v>
      </c>
      <c r="AB133" t="str">
        <f t="shared" si="2"/>
        <v>Oct</v>
      </c>
    </row>
    <row r="134" spans="1:28" x14ac:dyDescent="0.35">
      <c r="A134" t="s">
        <v>182</v>
      </c>
      <c r="B134">
        <v>20</v>
      </c>
      <c r="C134" t="s">
        <v>15</v>
      </c>
      <c r="D134" t="s">
        <v>16</v>
      </c>
      <c r="E134" t="s">
        <v>32</v>
      </c>
      <c r="F134" t="s">
        <v>18</v>
      </c>
      <c r="G134" s="1">
        <v>45715</v>
      </c>
      <c r="H134" s="1">
        <v>45731</v>
      </c>
      <c r="I134" s="4">
        <v>129822</v>
      </c>
      <c r="J134" t="s">
        <v>61</v>
      </c>
      <c r="K134" t="s">
        <v>20</v>
      </c>
      <c r="L134" t="s">
        <v>48</v>
      </c>
      <c r="M134" t="s">
        <v>38</v>
      </c>
      <c r="N134">
        <v>3</v>
      </c>
      <c r="X134">
        <v>2</v>
      </c>
      <c r="AB134" t="str">
        <f t="shared" si="2"/>
        <v>Feb</v>
      </c>
    </row>
    <row r="135" spans="1:28" x14ac:dyDescent="0.35">
      <c r="A135" t="s">
        <v>183</v>
      </c>
      <c r="B135">
        <v>69</v>
      </c>
      <c r="C135" t="s">
        <v>15</v>
      </c>
      <c r="D135" t="s">
        <v>45</v>
      </c>
      <c r="E135" t="s">
        <v>40</v>
      </c>
      <c r="F135" t="s">
        <v>41</v>
      </c>
      <c r="G135" s="1">
        <v>45883</v>
      </c>
      <c r="H135" s="1">
        <v>45891</v>
      </c>
      <c r="I135" s="4">
        <v>90240</v>
      </c>
      <c r="J135" t="s">
        <v>37</v>
      </c>
      <c r="K135" t="s">
        <v>20</v>
      </c>
      <c r="L135" t="s">
        <v>33</v>
      </c>
      <c r="M135" t="s">
        <v>38</v>
      </c>
      <c r="N135">
        <v>4</v>
      </c>
      <c r="X135">
        <v>8</v>
      </c>
      <c r="AB135" t="str">
        <f t="shared" si="2"/>
        <v>Aug</v>
      </c>
    </row>
    <row r="136" spans="1:28" x14ac:dyDescent="0.35">
      <c r="A136" t="s">
        <v>184</v>
      </c>
      <c r="B136">
        <v>80</v>
      </c>
      <c r="C136" t="s">
        <v>24</v>
      </c>
      <c r="D136" t="s">
        <v>16</v>
      </c>
      <c r="E136" t="s">
        <v>51</v>
      </c>
      <c r="F136" t="s">
        <v>18</v>
      </c>
      <c r="G136" s="1">
        <v>45819</v>
      </c>
      <c r="H136" s="1">
        <v>45832</v>
      </c>
      <c r="I136" s="4">
        <v>197262</v>
      </c>
      <c r="J136" t="s">
        <v>37</v>
      </c>
      <c r="K136" t="s">
        <v>20</v>
      </c>
      <c r="L136" t="s">
        <v>21</v>
      </c>
      <c r="M136" t="s">
        <v>38</v>
      </c>
      <c r="N136">
        <v>1</v>
      </c>
      <c r="X136">
        <v>6</v>
      </c>
      <c r="AB136" t="str">
        <f t="shared" si="2"/>
        <v>Jun</v>
      </c>
    </row>
    <row r="137" spans="1:28" x14ac:dyDescent="0.35">
      <c r="A137" t="s">
        <v>185</v>
      </c>
      <c r="B137">
        <v>44</v>
      </c>
      <c r="C137" t="s">
        <v>15</v>
      </c>
      <c r="D137" t="s">
        <v>31</v>
      </c>
      <c r="E137" t="s">
        <v>17</v>
      </c>
      <c r="F137" t="s">
        <v>56</v>
      </c>
      <c r="G137" s="1">
        <v>45941</v>
      </c>
      <c r="H137" s="1">
        <v>45956</v>
      </c>
      <c r="I137" s="4">
        <v>172769</v>
      </c>
      <c r="J137" t="s">
        <v>19</v>
      </c>
      <c r="K137" t="s">
        <v>42</v>
      </c>
      <c r="L137" t="s">
        <v>33</v>
      </c>
      <c r="M137" t="s">
        <v>38</v>
      </c>
      <c r="N137">
        <v>5</v>
      </c>
      <c r="X137">
        <v>10</v>
      </c>
      <c r="AB137" t="str">
        <f t="shared" si="2"/>
        <v>Oct</v>
      </c>
    </row>
    <row r="138" spans="1:28" x14ac:dyDescent="0.35">
      <c r="A138" t="s">
        <v>186</v>
      </c>
      <c r="B138">
        <v>66</v>
      </c>
      <c r="C138" t="s">
        <v>15</v>
      </c>
      <c r="D138" t="s">
        <v>31</v>
      </c>
      <c r="E138" t="s">
        <v>51</v>
      </c>
      <c r="F138" t="s">
        <v>56</v>
      </c>
      <c r="G138" s="1">
        <v>46004</v>
      </c>
      <c r="H138" s="1">
        <v>46019</v>
      </c>
      <c r="I138" s="4">
        <v>88470</v>
      </c>
      <c r="J138" t="s">
        <v>61</v>
      </c>
      <c r="K138" t="s">
        <v>20</v>
      </c>
      <c r="L138" t="s">
        <v>33</v>
      </c>
      <c r="M138" t="s">
        <v>22</v>
      </c>
      <c r="N138">
        <v>2</v>
      </c>
      <c r="X138">
        <v>12</v>
      </c>
      <c r="AB138" t="str">
        <f t="shared" si="2"/>
        <v>Dec</v>
      </c>
    </row>
    <row r="139" spans="1:28" x14ac:dyDescent="0.35">
      <c r="A139" t="s">
        <v>187</v>
      </c>
      <c r="B139">
        <v>66</v>
      </c>
      <c r="C139" t="s">
        <v>15</v>
      </c>
      <c r="D139" t="s">
        <v>45</v>
      </c>
      <c r="E139" t="s">
        <v>17</v>
      </c>
      <c r="F139" t="s">
        <v>41</v>
      </c>
      <c r="G139" s="1">
        <v>45629</v>
      </c>
      <c r="H139" s="1">
        <v>45648</v>
      </c>
      <c r="I139" s="4">
        <v>19472</v>
      </c>
      <c r="J139" t="s">
        <v>61</v>
      </c>
      <c r="K139" t="s">
        <v>42</v>
      </c>
      <c r="L139" t="s">
        <v>46</v>
      </c>
      <c r="M139" t="s">
        <v>38</v>
      </c>
      <c r="N139">
        <v>4</v>
      </c>
      <c r="X139">
        <v>12</v>
      </c>
      <c r="AB139" t="str">
        <f t="shared" si="2"/>
        <v>Dec</v>
      </c>
    </row>
    <row r="140" spans="1:28" x14ac:dyDescent="0.35">
      <c r="A140" t="s">
        <v>188</v>
      </c>
      <c r="B140">
        <v>23</v>
      </c>
      <c r="C140" t="s">
        <v>15</v>
      </c>
      <c r="D140" t="s">
        <v>25</v>
      </c>
      <c r="E140" t="s">
        <v>17</v>
      </c>
      <c r="F140" t="s">
        <v>36</v>
      </c>
      <c r="G140" s="1">
        <v>45922</v>
      </c>
      <c r="H140" s="1">
        <v>45937</v>
      </c>
      <c r="I140" s="4">
        <v>54045</v>
      </c>
      <c r="J140" t="s">
        <v>61</v>
      </c>
      <c r="K140" t="s">
        <v>63</v>
      </c>
      <c r="L140" t="s">
        <v>21</v>
      </c>
      <c r="M140" t="s">
        <v>22</v>
      </c>
      <c r="N140">
        <v>5</v>
      </c>
      <c r="X140">
        <v>9</v>
      </c>
      <c r="AB140" t="str">
        <f t="shared" si="2"/>
        <v>Sep</v>
      </c>
    </row>
    <row r="141" spans="1:28" x14ac:dyDescent="0.35">
      <c r="A141" t="s">
        <v>189</v>
      </c>
      <c r="B141">
        <v>85</v>
      </c>
      <c r="C141" t="s">
        <v>24</v>
      </c>
      <c r="D141" t="s">
        <v>31</v>
      </c>
      <c r="E141" t="s">
        <v>32</v>
      </c>
      <c r="F141" t="s">
        <v>18</v>
      </c>
      <c r="G141" s="1">
        <v>45681</v>
      </c>
      <c r="H141" s="1">
        <v>45690</v>
      </c>
      <c r="I141" s="4">
        <v>159024</v>
      </c>
      <c r="J141" t="s">
        <v>28</v>
      </c>
      <c r="K141" t="s">
        <v>20</v>
      </c>
      <c r="L141" t="s">
        <v>43</v>
      </c>
      <c r="M141" t="s">
        <v>22</v>
      </c>
      <c r="N141">
        <v>1</v>
      </c>
      <c r="X141">
        <v>1</v>
      </c>
      <c r="AB141" t="str">
        <f t="shared" si="2"/>
        <v>Jan</v>
      </c>
    </row>
    <row r="142" spans="1:28" x14ac:dyDescent="0.35">
      <c r="A142" t="s">
        <v>190</v>
      </c>
      <c r="B142">
        <v>78</v>
      </c>
      <c r="C142" t="s">
        <v>15</v>
      </c>
      <c r="D142" t="s">
        <v>58</v>
      </c>
      <c r="E142" t="s">
        <v>26</v>
      </c>
      <c r="F142" t="s">
        <v>27</v>
      </c>
      <c r="G142" s="1">
        <v>45465</v>
      </c>
      <c r="H142" s="1">
        <v>45482</v>
      </c>
      <c r="I142" s="4">
        <v>220263</v>
      </c>
      <c r="J142" t="s">
        <v>37</v>
      </c>
      <c r="K142" t="s">
        <v>29</v>
      </c>
      <c r="L142" t="s">
        <v>33</v>
      </c>
      <c r="M142" t="s">
        <v>64</v>
      </c>
      <c r="N142">
        <v>1</v>
      </c>
      <c r="X142">
        <v>6</v>
      </c>
      <c r="AB142" t="str">
        <f t="shared" si="2"/>
        <v>Jun</v>
      </c>
    </row>
    <row r="143" spans="1:28" x14ac:dyDescent="0.35">
      <c r="A143" t="s">
        <v>191</v>
      </c>
      <c r="B143">
        <v>18</v>
      </c>
      <c r="C143" t="s">
        <v>15</v>
      </c>
      <c r="D143" t="s">
        <v>53</v>
      </c>
      <c r="E143" t="s">
        <v>35</v>
      </c>
      <c r="F143" t="s">
        <v>18</v>
      </c>
      <c r="G143" s="1">
        <v>45919</v>
      </c>
      <c r="H143" s="1">
        <v>45923</v>
      </c>
      <c r="I143" s="4">
        <v>83785</v>
      </c>
      <c r="J143" t="s">
        <v>61</v>
      </c>
      <c r="K143" t="s">
        <v>20</v>
      </c>
      <c r="L143" t="s">
        <v>48</v>
      </c>
      <c r="M143" t="s">
        <v>38</v>
      </c>
      <c r="N143">
        <v>4</v>
      </c>
      <c r="X143">
        <v>9</v>
      </c>
      <c r="AB143" t="str">
        <f t="shared" si="2"/>
        <v>Sep</v>
      </c>
    </row>
    <row r="144" spans="1:28" x14ac:dyDescent="0.35">
      <c r="A144" t="s">
        <v>192</v>
      </c>
      <c r="B144">
        <v>49</v>
      </c>
      <c r="C144" t="s">
        <v>15</v>
      </c>
      <c r="D144" t="s">
        <v>16</v>
      </c>
      <c r="E144" t="s">
        <v>26</v>
      </c>
      <c r="F144" t="s">
        <v>56</v>
      </c>
      <c r="G144" s="1">
        <v>45469</v>
      </c>
      <c r="H144" s="1">
        <v>45471</v>
      </c>
      <c r="I144" s="4">
        <v>236470</v>
      </c>
      <c r="J144" t="s">
        <v>28</v>
      </c>
      <c r="K144" t="s">
        <v>20</v>
      </c>
      <c r="L144" t="s">
        <v>33</v>
      </c>
      <c r="M144" t="s">
        <v>38</v>
      </c>
      <c r="N144">
        <v>5</v>
      </c>
      <c r="X144">
        <v>6</v>
      </c>
      <c r="AB144" t="str">
        <f t="shared" si="2"/>
        <v>Jun</v>
      </c>
    </row>
    <row r="145" spans="1:28" x14ac:dyDescent="0.35">
      <c r="A145" t="s">
        <v>193</v>
      </c>
      <c r="B145">
        <v>26</v>
      </c>
      <c r="C145" t="s">
        <v>15</v>
      </c>
      <c r="D145" t="s">
        <v>45</v>
      </c>
      <c r="E145" t="s">
        <v>32</v>
      </c>
      <c r="F145" t="s">
        <v>41</v>
      </c>
      <c r="G145" s="1">
        <v>45529</v>
      </c>
      <c r="H145" s="1">
        <v>45530</v>
      </c>
      <c r="I145" s="4">
        <v>63168</v>
      </c>
      <c r="J145" t="s">
        <v>37</v>
      </c>
      <c r="K145" t="s">
        <v>42</v>
      </c>
      <c r="L145" t="s">
        <v>48</v>
      </c>
      <c r="M145" t="s">
        <v>22</v>
      </c>
      <c r="N145">
        <v>1</v>
      </c>
      <c r="X145">
        <v>8</v>
      </c>
      <c r="AB145" t="str">
        <f t="shared" si="2"/>
        <v>Aug</v>
      </c>
    </row>
    <row r="146" spans="1:28" x14ac:dyDescent="0.35">
      <c r="A146" t="s">
        <v>194</v>
      </c>
      <c r="B146">
        <v>71</v>
      </c>
      <c r="C146" t="s">
        <v>24</v>
      </c>
      <c r="D146" t="s">
        <v>45</v>
      </c>
      <c r="E146" t="s">
        <v>32</v>
      </c>
      <c r="F146" t="s">
        <v>18</v>
      </c>
      <c r="G146" s="1">
        <v>45494</v>
      </c>
      <c r="H146" s="1">
        <v>45508</v>
      </c>
      <c r="I146" s="4">
        <v>115186</v>
      </c>
      <c r="J146" t="s">
        <v>19</v>
      </c>
      <c r="K146" t="s">
        <v>42</v>
      </c>
      <c r="L146" t="s">
        <v>21</v>
      </c>
      <c r="M146" t="s">
        <v>64</v>
      </c>
      <c r="N146">
        <v>1</v>
      </c>
      <c r="X146">
        <v>7</v>
      </c>
      <c r="AB146" t="str">
        <f t="shared" si="2"/>
        <v>Jul</v>
      </c>
    </row>
    <row r="147" spans="1:28" x14ac:dyDescent="0.35">
      <c r="A147" t="s">
        <v>195</v>
      </c>
      <c r="B147">
        <v>40</v>
      </c>
      <c r="C147" t="s">
        <v>24</v>
      </c>
      <c r="D147" t="s">
        <v>50</v>
      </c>
      <c r="E147" t="s">
        <v>32</v>
      </c>
      <c r="F147" t="s">
        <v>27</v>
      </c>
      <c r="G147" s="1">
        <v>45502</v>
      </c>
      <c r="H147" s="1">
        <v>45506</v>
      </c>
      <c r="I147" s="4">
        <v>72085</v>
      </c>
      <c r="J147" t="s">
        <v>19</v>
      </c>
      <c r="K147" t="s">
        <v>29</v>
      </c>
      <c r="L147" t="s">
        <v>33</v>
      </c>
      <c r="M147" t="s">
        <v>64</v>
      </c>
      <c r="N147">
        <v>3</v>
      </c>
      <c r="X147">
        <v>7</v>
      </c>
      <c r="AB147" t="str">
        <f t="shared" si="2"/>
        <v>Jul</v>
      </c>
    </row>
    <row r="148" spans="1:28" x14ac:dyDescent="0.35">
      <c r="A148" t="s">
        <v>196</v>
      </c>
      <c r="B148">
        <v>83</v>
      </c>
      <c r="C148" t="s">
        <v>15</v>
      </c>
      <c r="D148" t="s">
        <v>16</v>
      </c>
      <c r="E148" t="s">
        <v>32</v>
      </c>
      <c r="F148" t="s">
        <v>18</v>
      </c>
      <c r="G148" s="1">
        <v>46020</v>
      </c>
      <c r="H148" s="1">
        <v>46039</v>
      </c>
      <c r="I148" s="4">
        <v>56010</v>
      </c>
      <c r="J148" t="s">
        <v>28</v>
      </c>
      <c r="K148" t="s">
        <v>20</v>
      </c>
      <c r="L148" t="s">
        <v>33</v>
      </c>
      <c r="M148" t="s">
        <v>64</v>
      </c>
      <c r="N148">
        <v>2</v>
      </c>
      <c r="X148">
        <v>12</v>
      </c>
      <c r="AB148" t="str">
        <f t="shared" si="2"/>
        <v>Dec</v>
      </c>
    </row>
    <row r="149" spans="1:28" x14ac:dyDescent="0.35">
      <c r="A149" t="s">
        <v>197</v>
      </c>
      <c r="B149">
        <v>76</v>
      </c>
      <c r="C149" t="s">
        <v>24</v>
      </c>
      <c r="D149" t="s">
        <v>58</v>
      </c>
      <c r="E149" t="s">
        <v>40</v>
      </c>
      <c r="F149" t="s">
        <v>41</v>
      </c>
      <c r="G149" s="1">
        <v>45776</v>
      </c>
      <c r="H149" s="1">
        <v>45782</v>
      </c>
      <c r="I149" s="4">
        <v>118369</v>
      </c>
      <c r="J149" t="s">
        <v>37</v>
      </c>
      <c r="K149" t="s">
        <v>42</v>
      </c>
      <c r="L149" t="s">
        <v>43</v>
      </c>
      <c r="M149" t="s">
        <v>38</v>
      </c>
      <c r="N149">
        <v>1</v>
      </c>
      <c r="X149">
        <v>4</v>
      </c>
      <c r="AB149" t="str">
        <f t="shared" si="2"/>
        <v>Apr</v>
      </c>
    </row>
    <row r="150" spans="1:28" x14ac:dyDescent="0.35">
      <c r="A150" t="s">
        <v>198</v>
      </c>
      <c r="B150">
        <v>42</v>
      </c>
      <c r="C150" t="s">
        <v>15</v>
      </c>
      <c r="D150" t="s">
        <v>53</v>
      </c>
      <c r="E150" t="s">
        <v>35</v>
      </c>
      <c r="F150" t="s">
        <v>56</v>
      </c>
      <c r="G150" s="1">
        <v>45460</v>
      </c>
      <c r="H150" s="1">
        <v>45476</v>
      </c>
      <c r="I150" s="4">
        <v>68757</v>
      </c>
      <c r="J150" t="s">
        <v>28</v>
      </c>
      <c r="K150" t="s">
        <v>20</v>
      </c>
      <c r="L150" t="s">
        <v>48</v>
      </c>
      <c r="M150" t="s">
        <v>64</v>
      </c>
      <c r="N150">
        <v>5</v>
      </c>
      <c r="X150">
        <v>6</v>
      </c>
      <c r="AB150" t="str">
        <f t="shared" si="2"/>
        <v>Jun</v>
      </c>
    </row>
    <row r="151" spans="1:28" x14ac:dyDescent="0.35">
      <c r="A151" t="s">
        <v>199</v>
      </c>
      <c r="B151">
        <v>50</v>
      </c>
      <c r="C151" t="s">
        <v>24</v>
      </c>
      <c r="D151" t="s">
        <v>31</v>
      </c>
      <c r="E151" t="s">
        <v>32</v>
      </c>
      <c r="F151" t="s">
        <v>56</v>
      </c>
      <c r="G151" s="1">
        <v>45548</v>
      </c>
      <c r="H151" s="1">
        <v>45559</v>
      </c>
      <c r="I151" s="4">
        <v>46071</v>
      </c>
      <c r="J151" t="s">
        <v>37</v>
      </c>
      <c r="K151" t="s">
        <v>42</v>
      </c>
      <c r="L151" t="s">
        <v>33</v>
      </c>
      <c r="M151" t="s">
        <v>22</v>
      </c>
      <c r="N151">
        <v>3</v>
      </c>
      <c r="X151">
        <v>9</v>
      </c>
      <c r="AB151" t="str">
        <f t="shared" si="2"/>
        <v>Sep</v>
      </c>
    </row>
    <row r="152" spans="1:28" x14ac:dyDescent="0.35">
      <c r="A152" t="s">
        <v>200</v>
      </c>
      <c r="B152">
        <v>37</v>
      </c>
      <c r="C152" t="s">
        <v>24</v>
      </c>
      <c r="D152" t="s">
        <v>31</v>
      </c>
      <c r="E152" t="s">
        <v>26</v>
      </c>
      <c r="F152" t="s">
        <v>36</v>
      </c>
      <c r="G152" s="1">
        <v>45514</v>
      </c>
      <c r="H152" s="1">
        <v>45527</v>
      </c>
      <c r="I152" s="4">
        <v>209303</v>
      </c>
      <c r="J152" t="s">
        <v>61</v>
      </c>
      <c r="K152" t="s">
        <v>29</v>
      </c>
      <c r="L152" t="s">
        <v>43</v>
      </c>
      <c r="M152" t="s">
        <v>64</v>
      </c>
      <c r="N152">
        <v>4</v>
      </c>
      <c r="X152">
        <v>8</v>
      </c>
      <c r="AB152" t="str">
        <f t="shared" si="2"/>
        <v>Aug</v>
      </c>
    </row>
    <row r="153" spans="1:28" x14ac:dyDescent="0.35">
      <c r="A153" t="s">
        <v>201</v>
      </c>
      <c r="B153">
        <v>48</v>
      </c>
      <c r="C153" t="s">
        <v>24</v>
      </c>
      <c r="D153" t="s">
        <v>25</v>
      </c>
      <c r="E153" t="s">
        <v>51</v>
      </c>
      <c r="F153" t="s">
        <v>56</v>
      </c>
      <c r="G153" s="1">
        <v>45394</v>
      </c>
      <c r="H153" s="1">
        <v>45400</v>
      </c>
      <c r="I153" s="4">
        <v>22854</v>
      </c>
      <c r="J153" t="s">
        <v>37</v>
      </c>
      <c r="K153" t="s">
        <v>42</v>
      </c>
      <c r="L153" t="s">
        <v>33</v>
      </c>
      <c r="M153" t="s">
        <v>38</v>
      </c>
      <c r="N153">
        <v>2</v>
      </c>
      <c r="X153">
        <v>4</v>
      </c>
      <c r="AB153" t="str">
        <f t="shared" si="2"/>
        <v>Apr</v>
      </c>
    </row>
    <row r="154" spans="1:28" x14ac:dyDescent="0.35">
      <c r="A154" t="s">
        <v>202</v>
      </c>
      <c r="B154">
        <v>33</v>
      </c>
      <c r="C154" t="s">
        <v>24</v>
      </c>
      <c r="D154" t="s">
        <v>50</v>
      </c>
      <c r="E154" t="s">
        <v>51</v>
      </c>
      <c r="F154" t="s">
        <v>41</v>
      </c>
      <c r="G154" s="1">
        <v>45362</v>
      </c>
      <c r="H154" s="1">
        <v>45367</v>
      </c>
      <c r="I154" s="4">
        <v>105504</v>
      </c>
      <c r="J154" t="s">
        <v>37</v>
      </c>
      <c r="K154" t="s">
        <v>29</v>
      </c>
      <c r="L154" t="s">
        <v>48</v>
      </c>
      <c r="M154" t="s">
        <v>38</v>
      </c>
      <c r="N154">
        <v>1</v>
      </c>
      <c r="X154">
        <v>3</v>
      </c>
      <c r="AB154" t="str">
        <f t="shared" si="2"/>
        <v>Mar</v>
      </c>
    </row>
    <row r="155" spans="1:28" x14ac:dyDescent="0.35">
      <c r="A155" t="s">
        <v>203</v>
      </c>
      <c r="B155">
        <v>37</v>
      </c>
      <c r="C155" t="s">
        <v>15</v>
      </c>
      <c r="D155" t="s">
        <v>58</v>
      </c>
      <c r="E155" t="s">
        <v>40</v>
      </c>
      <c r="F155" t="s">
        <v>27</v>
      </c>
      <c r="G155" s="1">
        <v>45821</v>
      </c>
      <c r="H155" s="1">
        <v>45840</v>
      </c>
      <c r="I155" s="4">
        <v>77793</v>
      </c>
      <c r="J155" t="s">
        <v>37</v>
      </c>
      <c r="K155" t="s">
        <v>29</v>
      </c>
      <c r="L155" t="s">
        <v>21</v>
      </c>
      <c r="M155" t="s">
        <v>22</v>
      </c>
      <c r="N155">
        <v>1</v>
      </c>
      <c r="X155">
        <v>6</v>
      </c>
      <c r="AB155" t="str">
        <f t="shared" si="2"/>
        <v>Jun</v>
      </c>
    </row>
    <row r="156" spans="1:28" x14ac:dyDescent="0.35">
      <c r="A156" t="s">
        <v>204</v>
      </c>
      <c r="B156">
        <v>69</v>
      </c>
      <c r="C156" t="s">
        <v>15</v>
      </c>
      <c r="D156" t="s">
        <v>53</v>
      </c>
      <c r="E156" t="s">
        <v>35</v>
      </c>
      <c r="F156" t="s">
        <v>27</v>
      </c>
      <c r="G156" s="1">
        <v>46004</v>
      </c>
      <c r="H156" s="1">
        <v>46011</v>
      </c>
      <c r="I156" s="4">
        <v>139349</v>
      </c>
      <c r="J156" t="s">
        <v>61</v>
      </c>
      <c r="K156" t="s">
        <v>42</v>
      </c>
      <c r="L156" t="s">
        <v>48</v>
      </c>
      <c r="M156" t="s">
        <v>22</v>
      </c>
      <c r="N156">
        <v>5</v>
      </c>
      <c r="X156">
        <v>12</v>
      </c>
      <c r="AB156" t="str">
        <f t="shared" si="2"/>
        <v>Dec</v>
      </c>
    </row>
    <row r="157" spans="1:28" x14ac:dyDescent="0.35">
      <c r="A157" t="s">
        <v>205</v>
      </c>
      <c r="B157">
        <v>37</v>
      </c>
      <c r="C157" t="s">
        <v>15</v>
      </c>
      <c r="D157" t="s">
        <v>45</v>
      </c>
      <c r="E157" t="s">
        <v>35</v>
      </c>
      <c r="F157" t="s">
        <v>41</v>
      </c>
      <c r="G157" s="1">
        <v>45403</v>
      </c>
      <c r="H157" s="1">
        <v>45407</v>
      </c>
      <c r="I157" s="4">
        <v>80456</v>
      </c>
      <c r="J157" t="s">
        <v>28</v>
      </c>
      <c r="K157" t="s">
        <v>42</v>
      </c>
      <c r="L157" t="s">
        <v>21</v>
      </c>
      <c r="M157" t="s">
        <v>38</v>
      </c>
      <c r="N157">
        <v>5</v>
      </c>
      <c r="X157">
        <v>4</v>
      </c>
      <c r="AB157" t="str">
        <f t="shared" si="2"/>
        <v>Apr</v>
      </c>
    </row>
    <row r="158" spans="1:28" x14ac:dyDescent="0.35">
      <c r="A158" t="s">
        <v>206</v>
      </c>
      <c r="B158">
        <v>60</v>
      </c>
      <c r="C158" t="s">
        <v>24</v>
      </c>
      <c r="D158" t="s">
        <v>53</v>
      </c>
      <c r="E158" t="s">
        <v>32</v>
      </c>
      <c r="F158" t="s">
        <v>41</v>
      </c>
      <c r="G158" s="1">
        <v>45592</v>
      </c>
      <c r="H158" s="1">
        <v>45603</v>
      </c>
      <c r="I158" s="4">
        <v>170508</v>
      </c>
      <c r="J158" t="s">
        <v>28</v>
      </c>
      <c r="K158" t="s">
        <v>63</v>
      </c>
      <c r="L158" t="s">
        <v>33</v>
      </c>
      <c r="M158" t="s">
        <v>38</v>
      </c>
      <c r="N158">
        <v>1</v>
      </c>
      <c r="X158">
        <v>10</v>
      </c>
      <c r="AB158" t="str">
        <f t="shared" si="2"/>
        <v>Oct</v>
      </c>
    </row>
    <row r="159" spans="1:28" x14ac:dyDescent="0.35">
      <c r="A159" t="s">
        <v>207</v>
      </c>
      <c r="B159">
        <v>56</v>
      </c>
      <c r="C159" t="s">
        <v>15</v>
      </c>
      <c r="D159" t="s">
        <v>31</v>
      </c>
      <c r="E159" t="s">
        <v>17</v>
      </c>
      <c r="F159" t="s">
        <v>18</v>
      </c>
      <c r="G159" s="1">
        <v>45727</v>
      </c>
      <c r="H159" s="1">
        <v>45729</v>
      </c>
      <c r="I159" s="4">
        <v>150058</v>
      </c>
      <c r="J159" t="s">
        <v>61</v>
      </c>
      <c r="K159" t="s">
        <v>29</v>
      </c>
      <c r="L159" t="s">
        <v>46</v>
      </c>
      <c r="M159" t="s">
        <v>38</v>
      </c>
      <c r="N159">
        <v>2</v>
      </c>
      <c r="X159">
        <v>3</v>
      </c>
      <c r="AB159" t="str">
        <f t="shared" si="2"/>
        <v>Mar</v>
      </c>
    </row>
    <row r="160" spans="1:28" x14ac:dyDescent="0.35">
      <c r="A160" t="s">
        <v>208</v>
      </c>
      <c r="B160">
        <v>80</v>
      </c>
      <c r="C160" t="s">
        <v>15</v>
      </c>
      <c r="D160" t="s">
        <v>25</v>
      </c>
      <c r="E160" t="s">
        <v>32</v>
      </c>
      <c r="F160" t="s">
        <v>27</v>
      </c>
      <c r="G160" s="1">
        <v>45534</v>
      </c>
      <c r="H160" s="1">
        <v>45535</v>
      </c>
      <c r="I160" s="4">
        <v>133382</v>
      </c>
      <c r="J160" t="s">
        <v>37</v>
      </c>
      <c r="K160" t="s">
        <v>42</v>
      </c>
      <c r="L160" t="s">
        <v>21</v>
      </c>
      <c r="M160" t="s">
        <v>64</v>
      </c>
      <c r="N160">
        <v>2</v>
      </c>
      <c r="X160">
        <v>8</v>
      </c>
      <c r="AB160" t="str">
        <f t="shared" si="2"/>
        <v>Aug</v>
      </c>
    </row>
    <row r="161" spans="1:28" x14ac:dyDescent="0.35">
      <c r="A161" t="s">
        <v>209</v>
      </c>
      <c r="B161">
        <v>23</v>
      </c>
      <c r="C161" t="s">
        <v>15</v>
      </c>
      <c r="D161" t="s">
        <v>58</v>
      </c>
      <c r="E161" t="s">
        <v>51</v>
      </c>
      <c r="F161" t="s">
        <v>27</v>
      </c>
      <c r="G161" s="1">
        <v>45308</v>
      </c>
      <c r="H161" s="1">
        <v>45314</v>
      </c>
      <c r="I161" s="4">
        <v>195577</v>
      </c>
      <c r="J161" t="s">
        <v>37</v>
      </c>
      <c r="K161" t="s">
        <v>20</v>
      </c>
      <c r="L161" t="s">
        <v>33</v>
      </c>
      <c r="M161" t="s">
        <v>38</v>
      </c>
      <c r="N161">
        <v>5</v>
      </c>
      <c r="X161">
        <v>1</v>
      </c>
      <c r="AB161" t="str">
        <f t="shared" si="2"/>
        <v>Jan</v>
      </c>
    </row>
    <row r="162" spans="1:28" x14ac:dyDescent="0.35">
      <c r="A162" t="s">
        <v>210</v>
      </c>
      <c r="B162">
        <v>70</v>
      </c>
      <c r="C162" t="s">
        <v>15</v>
      </c>
      <c r="D162" t="s">
        <v>53</v>
      </c>
      <c r="E162" t="s">
        <v>51</v>
      </c>
      <c r="F162" t="s">
        <v>41</v>
      </c>
      <c r="G162" s="1">
        <v>45763</v>
      </c>
      <c r="H162" s="1">
        <v>45764</v>
      </c>
      <c r="I162" s="4">
        <v>69573</v>
      </c>
      <c r="J162" t="s">
        <v>61</v>
      </c>
      <c r="K162" t="s">
        <v>29</v>
      </c>
      <c r="L162" t="s">
        <v>46</v>
      </c>
      <c r="M162" t="s">
        <v>64</v>
      </c>
      <c r="N162">
        <v>1</v>
      </c>
      <c r="X162">
        <v>4</v>
      </c>
      <c r="AB162" t="str">
        <f t="shared" si="2"/>
        <v>Apr</v>
      </c>
    </row>
    <row r="163" spans="1:28" x14ac:dyDescent="0.35">
      <c r="A163" t="s">
        <v>211</v>
      </c>
      <c r="B163">
        <v>75</v>
      </c>
      <c r="C163" t="s">
        <v>24</v>
      </c>
      <c r="D163" t="s">
        <v>58</v>
      </c>
      <c r="E163" t="s">
        <v>40</v>
      </c>
      <c r="F163" t="s">
        <v>41</v>
      </c>
      <c r="G163" s="1">
        <v>46010</v>
      </c>
      <c r="H163" s="1">
        <v>46025</v>
      </c>
      <c r="I163" s="4">
        <v>57959</v>
      </c>
      <c r="J163" t="s">
        <v>19</v>
      </c>
      <c r="K163" t="s">
        <v>42</v>
      </c>
      <c r="L163" t="s">
        <v>43</v>
      </c>
      <c r="M163" t="s">
        <v>64</v>
      </c>
      <c r="N163">
        <v>3</v>
      </c>
      <c r="X163">
        <v>12</v>
      </c>
      <c r="AB163" t="str">
        <f t="shared" si="2"/>
        <v>Dec</v>
      </c>
    </row>
    <row r="164" spans="1:28" x14ac:dyDescent="0.35">
      <c r="A164" t="s">
        <v>212</v>
      </c>
      <c r="B164">
        <v>33</v>
      </c>
      <c r="C164" t="s">
        <v>24</v>
      </c>
      <c r="D164" t="s">
        <v>25</v>
      </c>
      <c r="E164" t="s">
        <v>51</v>
      </c>
      <c r="F164" t="s">
        <v>41</v>
      </c>
      <c r="G164" s="1">
        <v>45938</v>
      </c>
      <c r="H164" s="1">
        <v>45952</v>
      </c>
      <c r="I164" s="4">
        <v>8435</v>
      </c>
      <c r="J164" t="s">
        <v>28</v>
      </c>
      <c r="K164" t="s">
        <v>20</v>
      </c>
      <c r="L164" t="s">
        <v>48</v>
      </c>
      <c r="M164" t="s">
        <v>38</v>
      </c>
      <c r="N164">
        <v>1</v>
      </c>
      <c r="X164">
        <v>10</v>
      </c>
      <c r="AB164" t="str">
        <f t="shared" si="2"/>
        <v>Oct</v>
      </c>
    </row>
    <row r="165" spans="1:28" x14ac:dyDescent="0.35">
      <c r="A165" t="s">
        <v>213</v>
      </c>
      <c r="B165">
        <v>52</v>
      </c>
      <c r="C165" t="s">
        <v>15</v>
      </c>
      <c r="D165" t="s">
        <v>50</v>
      </c>
      <c r="E165" t="s">
        <v>40</v>
      </c>
      <c r="F165" t="s">
        <v>36</v>
      </c>
      <c r="G165" s="1">
        <v>45538</v>
      </c>
      <c r="H165" s="1">
        <v>45544</v>
      </c>
      <c r="I165" s="4">
        <v>53147</v>
      </c>
      <c r="J165" t="s">
        <v>19</v>
      </c>
      <c r="K165" t="s">
        <v>20</v>
      </c>
      <c r="L165" t="s">
        <v>43</v>
      </c>
      <c r="M165" t="s">
        <v>22</v>
      </c>
      <c r="N165">
        <v>1</v>
      </c>
      <c r="X165">
        <v>9</v>
      </c>
      <c r="AB165" t="str">
        <f t="shared" si="2"/>
        <v>Sep</v>
      </c>
    </row>
    <row r="166" spans="1:28" x14ac:dyDescent="0.35">
      <c r="A166" t="s">
        <v>214</v>
      </c>
      <c r="B166">
        <v>69</v>
      </c>
      <c r="C166" t="s">
        <v>24</v>
      </c>
      <c r="D166" t="s">
        <v>53</v>
      </c>
      <c r="E166" t="s">
        <v>32</v>
      </c>
      <c r="F166" t="s">
        <v>36</v>
      </c>
      <c r="G166" s="1">
        <v>45987</v>
      </c>
      <c r="H166" s="1">
        <v>45993</v>
      </c>
      <c r="I166" s="4">
        <v>46295</v>
      </c>
      <c r="J166" t="s">
        <v>61</v>
      </c>
      <c r="K166" t="s">
        <v>29</v>
      </c>
      <c r="L166" t="s">
        <v>46</v>
      </c>
      <c r="M166" t="s">
        <v>38</v>
      </c>
      <c r="N166">
        <v>5</v>
      </c>
      <c r="X166">
        <v>11</v>
      </c>
      <c r="AB166" t="str">
        <f t="shared" si="2"/>
        <v>Nov</v>
      </c>
    </row>
    <row r="167" spans="1:28" x14ac:dyDescent="0.35">
      <c r="A167" t="s">
        <v>215</v>
      </c>
      <c r="B167">
        <v>34</v>
      </c>
      <c r="C167" t="s">
        <v>24</v>
      </c>
      <c r="D167" t="s">
        <v>16</v>
      </c>
      <c r="E167" t="s">
        <v>35</v>
      </c>
      <c r="F167" t="s">
        <v>56</v>
      </c>
      <c r="G167" s="1">
        <v>45791</v>
      </c>
      <c r="H167" s="1">
        <v>45793</v>
      </c>
      <c r="I167" s="4">
        <v>233010</v>
      </c>
      <c r="J167" t="s">
        <v>19</v>
      </c>
      <c r="K167" t="s">
        <v>63</v>
      </c>
      <c r="L167" t="s">
        <v>33</v>
      </c>
      <c r="M167" t="s">
        <v>22</v>
      </c>
      <c r="N167">
        <v>5</v>
      </c>
      <c r="X167">
        <v>5</v>
      </c>
      <c r="AB167" t="str">
        <f t="shared" si="2"/>
        <v>May</v>
      </c>
    </row>
    <row r="168" spans="1:28" x14ac:dyDescent="0.35">
      <c r="A168" t="s">
        <v>216</v>
      </c>
      <c r="B168">
        <v>79</v>
      </c>
      <c r="C168" t="s">
        <v>15</v>
      </c>
      <c r="D168" t="s">
        <v>50</v>
      </c>
      <c r="E168" t="s">
        <v>51</v>
      </c>
      <c r="F168" t="s">
        <v>56</v>
      </c>
      <c r="G168" s="1">
        <v>45682</v>
      </c>
      <c r="H168" s="1">
        <v>45700</v>
      </c>
      <c r="I168" s="4">
        <v>221369</v>
      </c>
      <c r="J168" t="s">
        <v>28</v>
      </c>
      <c r="K168" t="s">
        <v>63</v>
      </c>
      <c r="L168" t="s">
        <v>46</v>
      </c>
      <c r="M168" t="s">
        <v>22</v>
      </c>
      <c r="N168">
        <v>5</v>
      </c>
      <c r="X168">
        <v>1</v>
      </c>
      <c r="AB168" t="str">
        <f t="shared" si="2"/>
        <v>Jan</v>
      </c>
    </row>
    <row r="169" spans="1:28" x14ac:dyDescent="0.35">
      <c r="A169" t="s">
        <v>217</v>
      </c>
      <c r="B169">
        <v>71</v>
      </c>
      <c r="C169" t="s">
        <v>15</v>
      </c>
      <c r="D169" t="s">
        <v>31</v>
      </c>
      <c r="E169" t="s">
        <v>26</v>
      </c>
      <c r="F169" t="s">
        <v>27</v>
      </c>
      <c r="G169" s="1">
        <v>45657</v>
      </c>
      <c r="H169" s="1">
        <v>45664</v>
      </c>
      <c r="I169" s="4">
        <v>156452</v>
      </c>
      <c r="J169" t="s">
        <v>19</v>
      </c>
      <c r="K169" t="s">
        <v>42</v>
      </c>
      <c r="L169" t="s">
        <v>33</v>
      </c>
      <c r="M169" t="s">
        <v>22</v>
      </c>
      <c r="N169">
        <v>4</v>
      </c>
      <c r="X169">
        <v>12</v>
      </c>
      <c r="AB169" t="str">
        <f t="shared" si="2"/>
        <v>Dec</v>
      </c>
    </row>
    <row r="170" spans="1:28" x14ac:dyDescent="0.35">
      <c r="A170" t="s">
        <v>218</v>
      </c>
      <c r="B170">
        <v>40</v>
      </c>
      <c r="C170" t="s">
        <v>15</v>
      </c>
      <c r="D170" t="s">
        <v>50</v>
      </c>
      <c r="E170" t="s">
        <v>35</v>
      </c>
      <c r="F170" t="s">
        <v>27</v>
      </c>
      <c r="G170" s="1">
        <v>45772</v>
      </c>
      <c r="H170" s="1">
        <v>45784</v>
      </c>
      <c r="I170" s="4">
        <v>197059</v>
      </c>
      <c r="J170" t="s">
        <v>28</v>
      </c>
      <c r="K170" t="s">
        <v>42</v>
      </c>
      <c r="L170" t="s">
        <v>21</v>
      </c>
      <c r="M170" t="s">
        <v>38</v>
      </c>
      <c r="N170">
        <v>5</v>
      </c>
      <c r="X170">
        <v>4</v>
      </c>
      <c r="AB170" t="str">
        <f t="shared" si="2"/>
        <v>Apr</v>
      </c>
    </row>
    <row r="171" spans="1:28" x14ac:dyDescent="0.35">
      <c r="A171" t="s">
        <v>219</v>
      </c>
      <c r="B171">
        <v>49</v>
      </c>
      <c r="C171" t="s">
        <v>15</v>
      </c>
      <c r="D171" t="s">
        <v>45</v>
      </c>
      <c r="E171" t="s">
        <v>26</v>
      </c>
      <c r="F171" t="s">
        <v>56</v>
      </c>
      <c r="G171" s="1">
        <v>45830</v>
      </c>
      <c r="H171" s="1">
        <v>45846</v>
      </c>
      <c r="I171" s="4">
        <v>156278</v>
      </c>
      <c r="J171" t="s">
        <v>61</v>
      </c>
      <c r="K171" t="s">
        <v>63</v>
      </c>
      <c r="L171" t="s">
        <v>21</v>
      </c>
      <c r="M171" t="s">
        <v>64</v>
      </c>
      <c r="N171">
        <v>4</v>
      </c>
      <c r="X171">
        <v>6</v>
      </c>
      <c r="AB171" t="str">
        <f t="shared" si="2"/>
        <v>Jun</v>
      </c>
    </row>
    <row r="172" spans="1:28" x14ac:dyDescent="0.35">
      <c r="A172" t="s">
        <v>220</v>
      </c>
      <c r="B172">
        <v>63</v>
      </c>
      <c r="C172" t="s">
        <v>15</v>
      </c>
      <c r="D172" t="s">
        <v>58</v>
      </c>
      <c r="E172" t="s">
        <v>17</v>
      </c>
      <c r="F172" t="s">
        <v>18</v>
      </c>
      <c r="G172" s="1">
        <v>45517</v>
      </c>
      <c r="H172" s="1">
        <v>45532</v>
      </c>
      <c r="I172" s="4">
        <v>137111</v>
      </c>
      <c r="J172" t="s">
        <v>28</v>
      </c>
      <c r="K172" t="s">
        <v>29</v>
      </c>
      <c r="L172" t="s">
        <v>21</v>
      </c>
      <c r="M172" t="s">
        <v>22</v>
      </c>
      <c r="N172">
        <v>4</v>
      </c>
      <c r="X172">
        <v>8</v>
      </c>
      <c r="AB172" t="str">
        <f t="shared" si="2"/>
        <v>Aug</v>
      </c>
    </row>
    <row r="173" spans="1:28" x14ac:dyDescent="0.35">
      <c r="A173" t="s">
        <v>221</v>
      </c>
      <c r="B173">
        <v>23</v>
      </c>
      <c r="C173" t="s">
        <v>15</v>
      </c>
      <c r="D173" t="s">
        <v>16</v>
      </c>
      <c r="E173" t="s">
        <v>35</v>
      </c>
      <c r="F173" t="s">
        <v>27</v>
      </c>
      <c r="G173" s="1">
        <v>45745</v>
      </c>
      <c r="H173" s="1">
        <v>45751</v>
      </c>
      <c r="I173" s="4">
        <v>101754</v>
      </c>
      <c r="J173" t="s">
        <v>61</v>
      </c>
      <c r="K173" t="s">
        <v>42</v>
      </c>
      <c r="L173" t="s">
        <v>33</v>
      </c>
      <c r="M173" t="s">
        <v>38</v>
      </c>
      <c r="N173">
        <v>5</v>
      </c>
      <c r="X173">
        <v>3</v>
      </c>
      <c r="AB173" t="str">
        <f t="shared" si="2"/>
        <v>Mar</v>
      </c>
    </row>
    <row r="174" spans="1:28" x14ac:dyDescent="0.35">
      <c r="A174" t="s">
        <v>222</v>
      </c>
      <c r="B174">
        <v>65</v>
      </c>
      <c r="C174" t="s">
        <v>15</v>
      </c>
      <c r="D174" t="s">
        <v>25</v>
      </c>
      <c r="E174" t="s">
        <v>40</v>
      </c>
      <c r="F174" t="s">
        <v>36</v>
      </c>
      <c r="G174" s="1">
        <v>45582</v>
      </c>
      <c r="H174" s="1">
        <v>45584</v>
      </c>
      <c r="I174" s="4">
        <v>159749</v>
      </c>
      <c r="J174" t="s">
        <v>28</v>
      </c>
      <c r="K174" t="s">
        <v>20</v>
      </c>
      <c r="L174" t="s">
        <v>43</v>
      </c>
      <c r="M174" t="s">
        <v>64</v>
      </c>
      <c r="N174">
        <v>4</v>
      </c>
      <c r="X174">
        <v>10</v>
      </c>
      <c r="AB174" t="str">
        <f t="shared" si="2"/>
        <v>Oct</v>
      </c>
    </row>
    <row r="175" spans="1:28" x14ac:dyDescent="0.35">
      <c r="A175" t="s">
        <v>223</v>
      </c>
      <c r="B175">
        <v>74</v>
      </c>
      <c r="C175" t="s">
        <v>24</v>
      </c>
      <c r="D175" t="s">
        <v>16</v>
      </c>
      <c r="E175" t="s">
        <v>51</v>
      </c>
      <c r="F175" t="s">
        <v>18</v>
      </c>
      <c r="G175" s="1">
        <v>45821</v>
      </c>
      <c r="H175" s="1">
        <v>45823</v>
      </c>
      <c r="I175" s="4">
        <v>142859</v>
      </c>
      <c r="J175" t="s">
        <v>28</v>
      </c>
      <c r="K175" t="s">
        <v>42</v>
      </c>
      <c r="L175" t="s">
        <v>21</v>
      </c>
      <c r="M175" t="s">
        <v>38</v>
      </c>
      <c r="N175">
        <v>3</v>
      </c>
      <c r="X175">
        <v>6</v>
      </c>
      <c r="AB175" t="str">
        <f t="shared" si="2"/>
        <v>Jun</v>
      </c>
    </row>
    <row r="176" spans="1:28" x14ac:dyDescent="0.35">
      <c r="A176" t="s">
        <v>224</v>
      </c>
      <c r="B176">
        <v>27</v>
      </c>
      <c r="C176" t="s">
        <v>24</v>
      </c>
      <c r="D176" t="s">
        <v>53</v>
      </c>
      <c r="E176" t="s">
        <v>40</v>
      </c>
      <c r="F176" t="s">
        <v>18</v>
      </c>
      <c r="G176" s="1">
        <v>45954</v>
      </c>
      <c r="H176" s="1">
        <v>45956</v>
      </c>
      <c r="I176" s="4">
        <v>79866</v>
      </c>
      <c r="J176" t="s">
        <v>19</v>
      </c>
      <c r="K176" t="s">
        <v>20</v>
      </c>
      <c r="L176" t="s">
        <v>21</v>
      </c>
      <c r="M176" t="s">
        <v>64</v>
      </c>
      <c r="N176">
        <v>4</v>
      </c>
      <c r="X176">
        <v>10</v>
      </c>
      <c r="AB176" t="str">
        <f t="shared" si="2"/>
        <v>Oct</v>
      </c>
    </row>
    <row r="177" spans="1:28" x14ac:dyDescent="0.35">
      <c r="A177" t="s">
        <v>225</v>
      </c>
      <c r="B177">
        <v>57</v>
      </c>
      <c r="C177" t="s">
        <v>15</v>
      </c>
      <c r="D177" t="s">
        <v>50</v>
      </c>
      <c r="E177" t="s">
        <v>40</v>
      </c>
      <c r="F177" t="s">
        <v>27</v>
      </c>
      <c r="G177" s="1">
        <v>45439</v>
      </c>
      <c r="H177" s="1">
        <v>45440</v>
      </c>
      <c r="I177" s="4">
        <v>65118</v>
      </c>
      <c r="J177" t="s">
        <v>61</v>
      </c>
      <c r="K177" t="s">
        <v>20</v>
      </c>
      <c r="L177" t="s">
        <v>21</v>
      </c>
      <c r="M177" t="s">
        <v>64</v>
      </c>
      <c r="N177">
        <v>1</v>
      </c>
      <c r="X177">
        <v>5</v>
      </c>
      <c r="AB177" t="str">
        <f t="shared" si="2"/>
        <v>May</v>
      </c>
    </row>
    <row r="178" spans="1:28" x14ac:dyDescent="0.35">
      <c r="A178" t="s">
        <v>226</v>
      </c>
      <c r="B178">
        <v>19</v>
      </c>
      <c r="C178" t="s">
        <v>15</v>
      </c>
      <c r="D178" t="s">
        <v>45</v>
      </c>
      <c r="E178" t="s">
        <v>51</v>
      </c>
      <c r="F178" t="s">
        <v>56</v>
      </c>
      <c r="G178" s="1">
        <v>45820</v>
      </c>
      <c r="H178" s="1">
        <v>45827</v>
      </c>
      <c r="I178" s="4">
        <v>49466</v>
      </c>
      <c r="J178" t="s">
        <v>61</v>
      </c>
      <c r="K178" t="s">
        <v>29</v>
      </c>
      <c r="L178" t="s">
        <v>33</v>
      </c>
      <c r="M178" t="s">
        <v>64</v>
      </c>
      <c r="N178">
        <v>5</v>
      </c>
      <c r="X178">
        <v>6</v>
      </c>
      <c r="AB178" t="str">
        <f t="shared" si="2"/>
        <v>Jun</v>
      </c>
    </row>
    <row r="179" spans="1:28" x14ac:dyDescent="0.35">
      <c r="A179" t="s">
        <v>227</v>
      </c>
      <c r="B179">
        <v>39</v>
      </c>
      <c r="C179" t="s">
        <v>15</v>
      </c>
      <c r="D179" t="s">
        <v>58</v>
      </c>
      <c r="E179" t="s">
        <v>17</v>
      </c>
      <c r="F179" t="s">
        <v>27</v>
      </c>
      <c r="G179" s="1">
        <v>45335</v>
      </c>
      <c r="H179" s="1">
        <v>45346</v>
      </c>
      <c r="I179" s="4">
        <v>226892</v>
      </c>
      <c r="J179" t="s">
        <v>19</v>
      </c>
      <c r="K179" t="s">
        <v>42</v>
      </c>
      <c r="L179" t="s">
        <v>33</v>
      </c>
      <c r="M179" t="s">
        <v>38</v>
      </c>
      <c r="N179">
        <v>3</v>
      </c>
      <c r="X179">
        <v>2</v>
      </c>
      <c r="AB179" t="str">
        <f t="shared" si="2"/>
        <v>Feb</v>
      </c>
    </row>
    <row r="180" spans="1:28" x14ac:dyDescent="0.35">
      <c r="A180" t="s">
        <v>228</v>
      </c>
      <c r="B180">
        <v>81</v>
      </c>
      <c r="C180" t="s">
        <v>15</v>
      </c>
      <c r="D180" t="s">
        <v>53</v>
      </c>
      <c r="E180" t="s">
        <v>26</v>
      </c>
      <c r="F180" t="s">
        <v>41</v>
      </c>
      <c r="G180" s="1">
        <v>45666</v>
      </c>
      <c r="H180" s="1">
        <v>45680</v>
      </c>
      <c r="I180" s="4">
        <v>124835</v>
      </c>
      <c r="J180" t="s">
        <v>37</v>
      </c>
      <c r="K180" t="s">
        <v>42</v>
      </c>
      <c r="L180" t="s">
        <v>43</v>
      </c>
      <c r="M180" t="s">
        <v>64</v>
      </c>
      <c r="N180">
        <v>5</v>
      </c>
      <c r="X180">
        <v>1</v>
      </c>
      <c r="AB180" t="str">
        <f t="shared" si="2"/>
        <v>Jan</v>
      </c>
    </row>
    <row r="181" spans="1:28" x14ac:dyDescent="0.35">
      <c r="A181" t="s">
        <v>229</v>
      </c>
      <c r="B181">
        <v>45</v>
      </c>
      <c r="C181" t="s">
        <v>24</v>
      </c>
      <c r="D181" t="s">
        <v>25</v>
      </c>
      <c r="E181" t="s">
        <v>35</v>
      </c>
      <c r="F181" t="s">
        <v>41</v>
      </c>
      <c r="G181" s="1">
        <v>45420</v>
      </c>
      <c r="H181" s="1">
        <v>45438</v>
      </c>
      <c r="I181" s="4">
        <v>113054</v>
      </c>
      <c r="J181" t="s">
        <v>37</v>
      </c>
      <c r="K181" t="s">
        <v>29</v>
      </c>
      <c r="L181" t="s">
        <v>21</v>
      </c>
      <c r="M181" t="s">
        <v>38</v>
      </c>
      <c r="N181">
        <v>2</v>
      </c>
      <c r="X181">
        <v>5</v>
      </c>
      <c r="AB181" t="str">
        <f t="shared" si="2"/>
        <v>May</v>
      </c>
    </row>
    <row r="182" spans="1:28" x14ac:dyDescent="0.35">
      <c r="A182" t="s">
        <v>230</v>
      </c>
      <c r="B182">
        <v>39</v>
      </c>
      <c r="C182" t="s">
        <v>24</v>
      </c>
      <c r="D182" t="s">
        <v>45</v>
      </c>
      <c r="E182" t="s">
        <v>17</v>
      </c>
      <c r="F182" t="s">
        <v>36</v>
      </c>
      <c r="G182" s="1">
        <v>45753</v>
      </c>
      <c r="H182" s="1">
        <v>45760</v>
      </c>
      <c r="I182" s="4">
        <v>85670</v>
      </c>
      <c r="J182" t="s">
        <v>19</v>
      </c>
      <c r="K182" t="s">
        <v>29</v>
      </c>
      <c r="L182" t="s">
        <v>33</v>
      </c>
      <c r="M182" t="s">
        <v>38</v>
      </c>
      <c r="N182">
        <v>5</v>
      </c>
      <c r="X182">
        <v>4</v>
      </c>
      <c r="AB182" t="str">
        <f t="shared" si="2"/>
        <v>Apr</v>
      </c>
    </row>
    <row r="183" spans="1:28" x14ac:dyDescent="0.35">
      <c r="A183" t="s">
        <v>231</v>
      </c>
      <c r="B183">
        <v>61</v>
      </c>
      <c r="C183" t="s">
        <v>15</v>
      </c>
      <c r="D183" t="s">
        <v>50</v>
      </c>
      <c r="E183" t="s">
        <v>40</v>
      </c>
      <c r="F183" t="s">
        <v>56</v>
      </c>
      <c r="G183" s="1">
        <v>45904</v>
      </c>
      <c r="H183" s="1">
        <v>45923</v>
      </c>
      <c r="I183" s="4">
        <v>165807</v>
      </c>
      <c r="J183" t="s">
        <v>37</v>
      </c>
      <c r="K183" t="s">
        <v>63</v>
      </c>
      <c r="L183" t="s">
        <v>21</v>
      </c>
      <c r="M183" t="s">
        <v>64</v>
      </c>
      <c r="N183">
        <v>5</v>
      </c>
      <c r="X183">
        <v>9</v>
      </c>
      <c r="AB183" t="str">
        <f t="shared" si="2"/>
        <v>Sep</v>
      </c>
    </row>
    <row r="184" spans="1:28" x14ac:dyDescent="0.35">
      <c r="A184" t="s">
        <v>232</v>
      </c>
      <c r="B184">
        <v>64</v>
      </c>
      <c r="C184" t="s">
        <v>15</v>
      </c>
      <c r="D184" t="s">
        <v>31</v>
      </c>
      <c r="E184" t="s">
        <v>40</v>
      </c>
      <c r="F184" t="s">
        <v>36</v>
      </c>
      <c r="G184" s="1">
        <v>45776</v>
      </c>
      <c r="H184" s="1">
        <v>45783</v>
      </c>
      <c r="I184" s="4">
        <v>48096</v>
      </c>
      <c r="J184" t="s">
        <v>61</v>
      </c>
      <c r="K184" t="s">
        <v>42</v>
      </c>
      <c r="L184" t="s">
        <v>33</v>
      </c>
      <c r="M184" t="s">
        <v>38</v>
      </c>
      <c r="N184">
        <v>3</v>
      </c>
      <c r="X184">
        <v>4</v>
      </c>
      <c r="AB184" t="str">
        <f t="shared" si="2"/>
        <v>Apr</v>
      </c>
    </row>
    <row r="185" spans="1:28" x14ac:dyDescent="0.35">
      <c r="A185" t="s">
        <v>233</v>
      </c>
      <c r="B185">
        <v>19</v>
      </c>
      <c r="C185" t="s">
        <v>24</v>
      </c>
      <c r="D185" t="s">
        <v>53</v>
      </c>
      <c r="E185" t="s">
        <v>51</v>
      </c>
      <c r="F185" t="s">
        <v>41</v>
      </c>
      <c r="G185" s="1">
        <v>45877</v>
      </c>
      <c r="H185" s="1">
        <v>45892</v>
      </c>
      <c r="I185" s="4">
        <v>225339</v>
      </c>
      <c r="J185" t="s">
        <v>28</v>
      </c>
      <c r="K185" t="s">
        <v>42</v>
      </c>
      <c r="L185" t="s">
        <v>48</v>
      </c>
      <c r="M185" t="s">
        <v>64</v>
      </c>
      <c r="N185">
        <v>1</v>
      </c>
      <c r="X185">
        <v>8</v>
      </c>
      <c r="AB185" t="str">
        <f t="shared" si="2"/>
        <v>Aug</v>
      </c>
    </row>
    <row r="186" spans="1:28" x14ac:dyDescent="0.35">
      <c r="A186" t="s">
        <v>234</v>
      </c>
      <c r="B186">
        <v>49</v>
      </c>
      <c r="C186" t="s">
        <v>24</v>
      </c>
      <c r="D186" t="s">
        <v>53</v>
      </c>
      <c r="E186" t="s">
        <v>17</v>
      </c>
      <c r="F186" t="s">
        <v>36</v>
      </c>
      <c r="G186" s="1">
        <v>45446</v>
      </c>
      <c r="H186" s="1">
        <v>45460</v>
      </c>
      <c r="I186" s="4">
        <v>152999</v>
      </c>
      <c r="J186" t="s">
        <v>61</v>
      </c>
      <c r="K186" t="s">
        <v>29</v>
      </c>
      <c r="L186" t="s">
        <v>48</v>
      </c>
      <c r="M186" t="s">
        <v>22</v>
      </c>
      <c r="N186">
        <v>4</v>
      </c>
      <c r="X186">
        <v>6</v>
      </c>
      <c r="AB186" t="str">
        <f t="shared" si="2"/>
        <v>Jun</v>
      </c>
    </row>
    <row r="187" spans="1:28" x14ac:dyDescent="0.35">
      <c r="A187" t="s">
        <v>235</v>
      </c>
      <c r="B187">
        <v>37</v>
      </c>
      <c r="C187" t="s">
        <v>24</v>
      </c>
      <c r="D187" t="s">
        <v>16</v>
      </c>
      <c r="E187" t="s">
        <v>17</v>
      </c>
      <c r="F187" t="s">
        <v>27</v>
      </c>
      <c r="G187" s="1">
        <v>45801</v>
      </c>
      <c r="H187" s="1">
        <v>45810</v>
      </c>
      <c r="I187" s="4">
        <v>177657</v>
      </c>
      <c r="J187" t="s">
        <v>28</v>
      </c>
      <c r="K187" t="s">
        <v>20</v>
      </c>
      <c r="L187" t="s">
        <v>43</v>
      </c>
      <c r="M187" t="s">
        <v>22</v>
      </c>
      <c r="N187">
        <v>3</v>
      </c>
      <c r="X187">
        <v>5</v>
      </c>
      <c r="AB187" t="str">
        <f t="shared" si="2"/>
        <v>May</v>
      </c>
    </row>
    <row r="188" spans="1:28" x14ac:dyDescent="0.35">
      <c r="A188" t="s">
        <v>236</v>
      </c>
      <c r="B188">
        <v>21</v>
      </c>
      <c r="C188" t="s">
        <v>15</v>
      </c>
      <c r="D188" t="s">
        <v>45</v>
      </c>
      <c r="E188" t="s">
        <v>17</v>
      </c>
      <c r="F188" t="s">
        <v>27</v>
      </c>
      <c r="G188" s="1">
        <v>45766</v>
      </c>
      <c r="H188" s="1">
        <v>45786</v>
      </c>
      <c r="I188" s="4">
        <v>117612</v>
      </c>
      <c r="J188" t="s">
        <v>19</v>
      </c>
      <c r="K188" t="s">
        <v>29</v>
      </c>
      <c r="L188" t="s">
        <v>21</v>
      </c>
      <c r="M188" t="s">
        <v>22</v>
      </c>
      <c r="N188">
        <v>3</v>
      </c>
      <c r="X188">
        <v>4</v>
      </c>
      <c r="AB188" t="str">
        <f t="shared" si="2"/>
        <v>Apr</v>
      </c>
    </row>
    <row r="189" spans="1:28" x14ac:dyDescent="0.35">
      <c r="A189" t="s">
        <v>237</v>
      </c>
      <c r="B189">
        <v>39</v>
      </c>
      <c r="C189" t="s">
        <v>24</v>
      </c>
      <c r="D189" t="s">
        <v>50</v>
      </c>
      <c r="E189" t="s">
        <v>35</v>
      </c>
      <c r="F189" t="s">
        <v>56</v>
      </c>
      <c r="G189" s="1">
        <v>45704</v>
      </c>
      <c r="H189" s="1">
        <v>45716</v>
      </c>
      <c r="I189" s="4">
        <v>64512</v>
      </c>
      <c r="J189" t="s">
        <v>61</v>
      </c>
      <c r="K189" t="s">
        <v>63</v>
      </c>
      <c r="L189" t="s">
        <v>21</v>
      </c>
      <c r="M189" t="s">
        <v>22</v>
      </c>
      <c r="N189">
        <v>5</v>
      </c>
      <c r="X189">
        <v>2</v>
      </c>
      <c r="AB189" t="str">
        <f t="shared" si="2"/>
        <v>Feb</v>
      </c>
    </row>
    <row r="190" spans="1:28" x14ac:dyDescent="0.35">
      <c r="A190" t="s">
        <v>238</v>
      </c>
      <c r="B190">
        <v>46</v>
      </c>
      <c r="C190" t="s">
        <v>15</v>
      </c>
      <c r="D190" t="s">
        <v>58</v>
      </c>
      <c r="E190" t="s">
        <v>35</v>
      </c>
      <c r="F190" t="s">
        <v>18</v>
      </c>
      <c r="G190" s="1">
        <v>45405</v>
      </c>
      <c r="H190" s="1">
        <v>45420</v>
      </c>
      <c r="I190" s="4">
        <v>47747</v>
      </c>
      <c r="J190" t="s">
        <v>19</v>
      </c>
      <c r="K190" t="s">
        <v>63</v>
      </c>
      <c r="L190" t="s">
        <v>48</v>
      </c>
      <c r="M190" t="s">
        <v>38</v>
      </c>
      <c r="N190">
        <v>2</v>
      </c>
      <c r="X190">
        <v>4</v>
      </c>
      <c r="AB190" t="str">
        <f t="shared" si="2"/>
        <v>Apr</v>
      </c>
    </row>
    <row r="191" spans="1:28" x14ac:dyDescent="0.35">
      <c r="A191" t="s">
        <v>239</v>
      </c>
      <c r="B191">
        <v>79</v>
      </c>
      <c r="C191" t="s">
        <v>15</v>
      </c>
      <c r="D191" t="s">
        <v>58</v>
      </c>
      <c r="E191" t="s">
        <v>51</v>
      </c>
      <c r="F191" t="s">
        <v>27</v>
      </c>
      <c r="G191" s="1">
        <v>45399</v>
      </c>
      <c r="H191" s="1">
        <v>45408</v>
      </c>
      <c r="I191" s="4">
        <v>29295</v>
      </c>
      <c r="J191" t="s">
        <v>19</v>
      </c>
      <c r="K191" t="s">
        <v>29</v>
      </c>
      <c r="L191" t="s">
        <v>48</v>
      </c>
      <c r="M191" t="s">
        <v>38</v>
      </c>
      <c r="N191">
        <v>2</v>
      </c>
      <c r="X191">
        <v>4</v>
      </c>
      <c r="AB191" t="str">
        <f t="shared" si="2"/>
        <v>Apr</v>
      </c>
    </row>
    <row r="192" spans="1:28" x14ac:dyDescent="0.35">
      <c r="A192" t="s">
        <v>240</v>
      </c>
      <c r="B192">
        <v>34</v>
      </c>
      <c r="C192" t="s">
        <v>15</v>
      </c>
      <c r="D192" t="s">
        <v>50</v>
      </c>
      <c r="E192" t="s">
        <v>17</v>
      </c>
      <c r="F192" t="s">
        <v>36</v>
      </c>
      <c r="G192" s="1">
        <v>45580</v>
      </c>
      <c r="H192" s="1">
        <v>45585</v>
      </c>
      <c r="I192" s="4">
        <v>14328</v>
      </c>
      <c r="J192" t="s">
        <v>19</v>
      </c>
      <c r="K192" t="s">
        <v>42</v>
      </c>
      <c r="L192" t="s">
        <v>21</v>
      </c>
      <c r="M192" t="s">
        <v>64</v>
      </c>
      <c r="N192">
        <v>3</v>
      </c>
      <c r="X192">
        <v>10</v>
      </c>
      <c r="AB192" t="str">
        <f t="shared" si="2"/>
        <v>Oct</v>
      </c>
    </row>
    <row r="193" spans="1:28" x14ac:dyDescent="0.35">
      <c r="A193" t="s">
        <v>241</v>
      </c>
      <c r="B193">
        <v>85</v>
      </c>
      <c r="C193" t="s">
        <v>24</v>
      </c>
      <c r="D193" t="s">
        <v>31</v>
      </c>
      <c r="E193" t="s">
        <v>51</v>
      </c>
      <c r="F193" t="s">
        <v>56</v>
      </c>
      <c r="G193" s="1">
        <v>46007</v>
      </c>
      <c r="H193" s="1">
        <v>46008</v>
      </c>
      <c r="I193" s="4">
        <v>39410</v>
      </c>
      <c r="J193" t="s">
        <v>37</v>
      </c>
      <c r="K193" t="s">
        <v>63</v>
      </c>
      <c r="L193" t="s">
        <v>48</v>
      </c>
      <c r="M193" t="s">
        <v>38</v>
      </c>
      <c r="N193">
        <v>1</v>
      </c>
      <c r="X193">
        <v>12</v>
      </c>
      <c r="AB193" t="str">
        <f t="shared" si="2"/>
        <v>Dec</v>
      </c>
    </row>
    <row r="194" spans="1:28" x14ac:dyDescent="0.35">
      <c r="A194" t="s">
        <v>242</v>
      </c>
      <c r="B194">
        <v>25</v>
      </c>
      <c r="C194" t="s">
        <v>15</v>
      </c>
      <c r="D194" t="s">
        <v>16</v>
      </c>
      <c r="E194" t="s">
        <v>40</v>
      </c>
      <c r="F194" t="s">
        <v>36</v>
      </c>
      <c r="G194" s="1">
        <v>45712</v>
      </c>
      <c r="H194" s="1">
        <v>45721</v>
      </c>
      <c r="I194" s="4">
        <v>19302</v>
      </c>
      <c r="J194" t="s">
        <v>19</v>
      </c>
      <c r="K194" t="s">
        <v>63</v>
      </c>
      <c r="L194" t="s">
        <v>46</v>
      </c>
      <c r="M194" t="s">
        <v>64</v>
      </c>
      <c r="N194">
        <v>3</v>
      </c>
      <c r="X194">
        <v>2</v>
      </c>
      <c r="AB194" t="str">
        <f t="shared" si="2"/>
        <v>Feb</v>
      </c>
    </row>
    <row r="195" spans="1:28" x14ac:dyDescent="0.35">
      <c r="A195" t="s">
        <v>243</v>
      </c>
      <c r="B195">
        <v>48</v>
      </c>
      <c r="C195" t="s">
        <v>15</v>
      </c>
      <c r="D195" t="s">
        <v>16</v>
      </c>
      <c r="E195" t="s">
        <v>32</v>
      </c>
      <c r="F195" t="s">
        <v>27</v>
      </c>
      <c r="G195" s="1">
        <v>45322</v>
      </c>
      <c r="H195" s="1">
        <v>45326</v>
      </c>
      <c r="I195" s="4">
        <v>217449</v>
      </c>
      <c r="J195" t="s">
        <v>28</v>
      </c>
      <c r="K195" t="s">
        <v>20</v>
      </c>
      <c r="L195" t="s">
        <v>46</v>
      </c>
      <c r="M195" t="s">
        <v>22</v>
      </c>
      <c r="N195">
        <v>4</v>
      </c>
      <c r="X195">
        <v>1</v>
      </c>
      <c r="AB195" t="str">
        <f t="shared" ref="AB195:AB258" si="3">TEXT(G195,"mmm")</f>
        <v>Jan</v>
      </c>
    </row>
    <row r="196" spans="1:28" x14ac:dyDescent="0.35">
      <c r="A196" t="s">
        <v>244</v>
      </c>
      <c r="B196">
        <v>61</v>
      </c>
      <c r="C196" t="s">
        <v>15</v>
      </c>
      <c r="D196" t="s">
        <v>53</v>
      </c>
      <c r="E196" t="s">
        <v>32</v>
      </c>
      <c r="F196" t="s">
        <v>41</v>
      </c>
      <c r="G196" s="1">
        <v>45793</v>
      </c>
      <c r="H196" s="1">
        <v>45811</v>
      </c>
      <c r="I196" s="4">
        <v>234137</v>
      </c>
      <c r="J196" t="s">
        <v>19</v>
      </c>
      <c r="K196" t="s">
        <v>63</v>
      </c>
      <c r="L196" t="s">
        <v>33</v>
      </c>
      <c r="M196" t="s">
        <v>64</v>
      </c>
      <c r="N196">
        <v>4</v>
      </c>
      <c r="X196">
        <v>5</v>
      </c>
      <c r="AB196" t="str">
        <f t="shared" si="3"/>
        <v>May</v>
      </c>
    </row>
    <row r="197" spans="1:28" x14ac:dyDescent="0.35">
      <c r="A197" t="s">
        <v>245</v>
      </c>
      <c r="B197">
        <v>21</v>
      </c>
      <c r="C197" t="s">
        <v>24</v>
      </c>
      <c r="D197" t="s">
        <v>53</v>
      </c>
      <c r="E197" t="s">
        <v>51</v>
      </c>
      <c r="F197" t="s">
        <v>56</v>
      </c>
      <c r="G197" s="1">
        <v>45375</v>
      </c>
      <c r="H197" s="1">
        <v>45390</v>
      </c>
      <c r="I197" s="4">
        <v>33092</v>
      </c>
      <c r="J197" t="s">
        <v>37</v>
      </c>
      <c r="K197" t="s">
        <v>42</v>
      </c>
      <c r="L197" t="s">
        <v>33</v>
      </c>
      <c r="M197" t="s">
        <v>64</v>
      </c>
      <c r="N197">
        <v>2</v>
      </c>
      <c r="X197">
        <v>3</v>
      </c>
      <c r="AB197" t="str">
        <f t="shared" si="3"/>
        <v>Mar</v>
      </c>
    </row>
    <row r="198" spans="1:28" x14ac:dyDescent="0.35">
      <c r="A198" t="s">
        <v>246</v>
      </c>
      <c r="B198">
        <v>47</v>
      </c>
      <c r="C198" t="s">
        <v>24</v>
      </c>
      <c r="D198" t="s">
        <v>16</v>
      </c>
      <c r="E198" t="s">
        <v>35</v>
      </c>
      <c r="F198" t="s">
        <v>18</v>
      </c>
      <c r="G198" s="1">
        <v>45396</v>
      </c>
      <c r="H198" s="1">
        <v>45401</v>
      </c>
      <c r="I198" s="4">
        <v>23871</v>
      </c>
      <c r="J198" t="s">
        <v>37</v>
      </c>
      <c r="K198" t="s">
        <v>29</v>
      </c>
      <c r="L198" t="s">
        <v>48</v>
      </c>
      <c r="M198" t="s">
        <v>64</v>
      </c>
      <c r="N198">
        <v>4</v>
      </c>
      <c r="X198">
        <v>4</v>
      </c>
      <c r="AB198" t="str">
        <f t="shared" si="3"/>
        <v>Apr</v>
      </c>
    </row>
    <row r="199" spans="1:28" x14ac:dyDescent="0.35">
      <c r="A199" t="s">
        <v>247</v>
      </c>
      <c r="B199">
        <v>22</v>
      </c>
      <c r="C199" t="s">
        <v>15</v>
      </c>
      <c r="D199" t="s">
        <v>45</v>
      </c>
      <c r="E199" t="s">
        <v>51</v>
      </c>
      <c r="F199" t="s">
        <v>36</v>
      </c>
      <c r="G199" s="1">
        <v>45542</v>
      </c>
      <c r="H199" s="1">
        <v>45549</v>
      </c>
      <c r="I199" s="4">
        <v>26433</v>
      </c>
      <c r="J199" t="s">
        <v>61</v>
      </c>
      <c r="K199" t="s">
        <v>29</v>
      </c>
      <c r="L199" t="s">
        <v>43</v>
      </c>
      <c r="M199" t="s">
        <v>64</v>
      </c>
      <c r="N199">
        <v>5</v>
      </c>
      <c r="X199">
        <v>9</v>
      </c>
      <c r="AB199" t="str">
        <f t="shared" si="3"/>
        <v>Sep</v>
      </c>
    </row>
    <row r="200" spans="1:28" x14ac:dyDescent="0.35">
      <c r="A200" t="s">
        <v>248</v>
      </c>
      <c r="B200">
        <v>43</v>
      </c>
      <c r="C200" t="s">
        <v>15</v>
      </c>
      <c r="D200" t="s">
        <v>25</v>
      </c>
      <c r="E200" t="s">
        <v>51</v>
      </c>
      <c r="F200" t="s">
        <v>36</v>
      </c>
      <c r="G200" s="1">
        <v>45513</v>
      </c>
      <c r="H200" s="1">
        <v>45519</v>
      </c>
      <c r="I200" s="4">
        <v>49538</v>
      </c>
      <c r="J200" t="s">
        <v>37</v>
      </c>
      <c r="K200" t="s">
        <v>42</v>
      </c>
      <c r="L200" t="s">
        <v>43</v>
      </c>
      <c r="M200" t="s">
        <v>38</v>
      </c>
      <c r="N200">
        <v>5</v>
      </c>
      <c r="X200">
        <v>8</v>
      </c>
      <c r="AB200" t="str">
        <f t="shared" si="3"/>
        <v>Aug</v>
      </c>
    </row>
    <row r="201" spans="1:28" x14ac:dyDescent="0.35">
      <c r="A201" t="s">
        <v>249</v>
      </c>
      <c r="B201">
        <v>67</v>
      </c>
      <c r="C201" t="s">
        <v>24</v>
      </c>
      <c r="D201" t="s">
        <v>50</v>
      </c>
      <c r="E201" t="s">
        <v>40</v>
      </c>
      <c r="F201" t="s">
        <v>27</v>
      </c>
      <c r="G201" s="1">
        <v>45884</v>
      </c>
      <c r="H201" s="1">
        <v>45896</v>
      </c>
      <c r="I201" s="4">
        <v>178318</v>
      </c>
      <c r="J201" t="s">
        <v>61</v>
      </c>
      <c r="K201" t="s">
        <v>63</v>
      </c>
      <c r="L201" t="s">
        <v>33</v>
      </c>
      <c r="M201" t="s">
        <v>38</v>
      </c>
      <c r="N201">
        <v>4</v>
      </c>
      <c r="X201">
        <v>8</v>
      </c>
      <c r="AB201" t="str">
        <f t="shared" si="3"/>
        <v>Aug</v>
      </c>
    </row>
    <row r="202" spans="1:28" x14ac:dyDescent="0.35">
      <c r="A202" t="s">
        <v>250</v>
      </c>
      <c r="B202">
        <v>53</v>
      </c>
      <c r="C202" t="s">
        <v>24</v>
      </c>
      <c r="D202" t="s">
        <v>58</v>
      </c>
      <c r="E202" t="s">
        <v>51</v>
      </c>
      <c r="F202" t="s">
        <v>36</v>
      </c>
      <c r="G202" s="1">
        <v>45553</v>
      </c>
      <c r="H202" s="1">
        <v>45572</v>
      </c>
      <c r="I202" s="4">
        <v>77730</v>
      </c>
      <c r="J202" t="s">
        <v>28</v>
      </c>
      <c r="K202" t="s">
        <v>63</v>
      </c>
      <c r="L202" t="s">
        <v>21</v>
      </c>
      <c r="M202" t="s">
        <v>64</v>
      </c>
      <c r="N202">
        <v>1</v>
      </c>
      <c r="X202">
        <v>9</v>
      </c>
      <c r="AB202" t="str">
        <f t="shared" si="3"/>
        <v>Sep</v>
      </c>
    </row>
    <row r="203" spans="1:28" x14ac:dyDescent="0.35">
      <c r="A203" t="s">
        <v>251</v>
      </c>
      <c r="B203">
        <v>76</v>
      </c>
      <c r="C203" t="s">
        <v>15</v>
      </c>
      <c r="D203" t="s">
        <v>25</v>
      </c>
      <c r="E203" t="s">
        <v>35</v>
      </c>
      <c r="F203" t="s">
        <v>18</v>
      </c>
      <c r="G203" s="1">
        <v>45580</v>
      </c>
      <c r="H203" s="1">
        <v>45589</v>
      </c>
      <c r="I203" s="4">
        <v>111051</v>
      </c>
      <c r="J203" t="s">
        <v>37</v>
      </c>
      <c r="K203" t="s">
        <v>63</v>
      </c>
      <c r="L203" t="s">
        <v>33</v>
      </c>
      <c r="M203" t="s">
        <v>38</v>
      </c>
      <c r="N203">
        <v>5</v>
      </c>
      <c r="X203">
        <v>10</v>
      </c>
      <c r="AB203" t="str">
        <f t="shared" si="3"/>
        <v>Oct</v>
      </c>
    </row>
    <row r="204" spans="1:28" x14ac:dyDescent="0.35">
      <c r="A204" t="s">
        <v>252</v>
      </c>
      <c r="B204">
        <v>53</v>
      </c>
      <c r="C204" t="s">
        <v>24</v>
      </c>
      <c r="D204" t="s">
        <v>31</v>
      </c>
      <c r="E204" t="s">
        <v>32</v>
      </c>
      <c r="F204" t="s">
        <v>56</v>
      </c>
      <c r="G204" s="1">
        <v>45407</v>
      </c>
      <c r="H204" s="1">
        <v>45424</v>
      </c>
      <c r="I204" s="4">
        <v>41337</v>
      </c>
      <c r="J204" t="s">
        <v>28</v>
      </c>
      <c r="K204" t="s">
        <v>63</v>
      </c>
      <c r="L204" t="s">
        <v>48</v>
      </c>
      <c r="M204" t="s">
        <v>64</v>
      </c>
      <c r="N204">
        <v>1</v>
      </c>
      <c r="X204">
        <v>4</v>
      </c>
      <c r="AB204" t="str">
        <f t="shared" si="3"/>
        <v>Apr</v>
      </c>
    </row>
    <row r="205" spans="1:28" x14ac:dyDescent="0.35">
      <c r="A205" t="s">
        <v>253</v>
      </c>
      <c r="B205">
        <v>49</v>
      </c>
      <c r="C205" t="s">
        <v>24</v>
      </c>
      <c r="D205" t="s">
        <v>50</v>
      </c>
      <c r="E205" t="s">
        <v>51</v>
      </c>
      <c r="F205" t="s">
        <v>41</v>
      </c>
      <c r="G205" s="1">
        <v>45867</v>
      </c>
      <c r="H205" s="1">
        <v>45885</v>
      </c>
      <c r="I205" s="4">
        <v>183685</v>
      </c>
      <c r="J205" t="s">
        <v>28</v>
      </c>
      <c r="K205" t="s">
        <v>63</v>
      </c>
      <c r="L205" t="s">
        <v>21</v>
      </c>
      <c r="M205" t="s">
        <v>38</v>
      </c>
      <c r="N205">
        <v>1</v>
      </c>
      <c r="X205">
        <v>7</v>
      </c>
      <c r="AB205" t="str">
        <f t="shared" si="3"/>
        <v>Jul</v>
      </c>
    </row>
    <row r="206" spans="1:28" x14ac:dyDescent="0.35">
      <c r="A206" t="s">
        <v>254</v>
      </c>
      <c r="B206">
        <v>54</v>
      </c>
      <c r="C206" t="s">
        <v>15</v>
      </c>
      <c r="D206" t="s">
        <v>31</v>
      </c>
      <c r="E206" t="s">
        <v>35</v>
      </c>
      <c r="F206" t="s">
        <v>36</v>
      </c>
      <c r="G206" s="1">
        <v>45926</v>
      </c>
      <c r="H206" s="1">
        <v>45940</v>
      </c>
      <c r="I206" s="4">
        <v>170867</v>
      </c>
      <c r="J206" t="s">
        <v>37</v>
      </c>
      <c r="K206" t="s">
        <v>29</v>
      </c>
      <c r="L206" t="s">
        <v>33</v>
      </c>
      <c r="M206" t="s">
        <v>64</v>
      </c>
      <c r="N206">
        <v>1</v>
      </c>
      <c r="X206">
        <v>9</v>
      </c>
      <c r="AB206" t="str">
        <f t="shared" si="3"/>
        <v>Sep</v>
      </c>
    </row>
    <row r="207" spans="1:28" x14ac:dyDescent="0.35">
      <c r="A207" t="s">
        <v>255</v>
      </c>
      <c r="B207">
        <v>50</v>
      </c>
      <c r="C207" t="s">
        <v>24</v>
      </c>
      <c r="D207" t="s">
        <v>50</v>
      </c>
      <c r="E207" t="s">
        <v>40</v>
      </c>
      <c r="F207" t="s">
        <v>27</v>
      </c>
      <c r="G207" s="1">
        <v>45641</v>
      </c>
      <c r="H207" s="1">
        <v>45657</v>
      </c>
      <c r="I207" s="4">
        <v>94186</v>
      </c>
      <c r="J207" t="s">
        <v>28</v>
      </c>
      <c r="K207" t="s">
        <v>63</v>
      </c>
      <c r="L207" t="s">
        <v>43</v>
      </c>
      <c r="M207" t="s">
        <v>64</v>
      </c>
      <c r="N207">
        <v>4</v>
      </c>
      <c r="X207">
        <v>12</v>
      </c>
      <c r="AB207" t="str">
        <f t="shared" si="3"/>
        <v>Dec</v>
      </c>
    </row>
    <row r="208" spans="1:28" x14ac:dyDescent="0.35">
      <c r="A208" t="s">
        <v>256</v>
      </c>
      <c r="B208">
        <v>23</v>
      </c>
      <c r="C208" t="s">
        <v>15</v>
      </c>
      <c r="D208" t="s">
        <v>25</v>
      </c>
      <c r="E208" t="s">
        <v>35</v>
      </c>
      <c r="F208" t="s">
        <v>18</v>
      </c>
      <c r="G208" s="1">
        <v>45298</v>
      </c>
      <c r="H208" s="1">
        <v>45302</v>
      </c>
      <c r="I208" s="4">
        <v>207028</v>
      </c>
      <c r="J208" t="s">
        <v>37</v>
      </c>
      <c r="K208" t="s">
        <v>63</v>
      </c>
      <c r="L208" t="s">
        <v>33</v>
      </c>
      <c r="M208" t="s">
        <v>38</v>
      </c>
      <c r="N208">
        <v>3</v>
      </c>
      <c r="X208">
        <v>1</v>
      </c>
      <c r="AB208" t="str">
        <f t="shared" si="3"/>
        <v>Jan</v>
      </c>
    </row>
    <row r="209" spans="1:28" x14ac:dyDescent="0.35">
      <c r="A209" t="s">
        <v>257</v>
      </c>
      <c r="B209">
        <v>40</v>
      </c>
      <c r="C209" t="s">
        <v>24</v>
      </c>
      <c r="D209" t="s">
        <v>31</v>
      </c>
      <c r="E209" t="s">
        <v>35</v>
      </c>
      <c r="F209" t="s">
        <v>56</v>
      </c>
      <c r="G209" s="1">
        <v>45978</v>
      </c>
      <c r="H209" s="1">
        <v>45995</v>
      </c>
      <c r="I209" s="4">
        <v>157714</v>
      </c>
      <c r="J209" t="s">
        <v>19</v>
      </c>
      <c r="K209" t="s">
        <v>63</v>
      </c>
      <c r="L209" t="s">
        <v>43</v>
      </c>
      <c r="M209" t="s">
        <v>22</v>
      </c>
      <c r="N209">
        <v>4</v>
      </c>
      <c r="X209">
        <v>11</v>
      </c>
      <c r="AB209" t="str">
        <f t="shared" si="3"/>
        <v>Nov</v>
      </c>
    </row>
    <row r="210" spans="1:28" x14ac:dyDescent="0.35">
      <c r="A210" t="s">
        <v>258</v>
      </c>
      <c r="B210">
        <v>44</v>
      </c>
      <c r="C210" t="s">
        <v>15</v>
      </c>
      <c r="D210" t="s">
        <v>58</v>
      </c>
      <c r="E210" t="s">
        <v>40</v>
      </c>
      <c r="F210" t="s">
        <v>36</v>
      </c>
      <c r="G210" s="1">
        <v>45958</v>
      </c>
      <c r="H210" s="1">
        <v>45977</v>
      </c>
      <c r="I210" s="4">
        <v>185220</v>
      </c>
      <c r="J210" t="s">
        <v>28</v>
      </c>
      <c r="K210" t="s">
        <v>42</v>
      </c>
      <c r="L210" t="s">
        <v>21</v>
      </c>
      <c r="M210" t="s">
        <v>64</v>
      </c>
      <c r="N210">
        <v>5</v>
      </c>
      <c r="X210">
        <v>10</v>
      </c>
      <c r="AB210" t="str">
        <f t="shared" si="3"/>
        <v>Oct</v>
      </c>
    </row>
    <row r="211" spans="1:28" x14ac:dyDescent="0.35">
      <c r="A211" t="s">
        <v>259</v>
      </c>
      <c r="B211">
        <v>22</v>
      </c>
      <c r="C211" t="s">
        <v>24</v>
      </c>
      <c r="D211" t="s">
        <v>50</v>
      </c>
      <c r="E211" t="s">
        <v>40</v>
      </c>
      <c r="F211" t="s">
        <v>27</v>
      </c>
      <c r="G211" s="1">
        <v>45514</v>
      </c>
      <c r="H211" s="1">
        <v>45518</v>
      </c>
      <c r="I211" s="4">
        <v>107362</v>
      </c>
      <c r="J211" t="s">
        <v>61</v>
      </c>
      <c r="K211" t="s">
        <v>20</v>
      </c>
      <c r="L211" t="s">
        <v>48</v>
      </c>
      <c r="M211" t="s">
        <v>64</v>
      </c>
      <c r="N211">
        <v>5</v>
      </c>
      <c r="X211">
        <v>8</v>
      </c>
      <c r="AB211" t="str">
        <f t="shared" si="3"/>
        <v>Aug</v>
      </c>
    </row>
    <row r="212" spans="1:28" x14ac:dyDescent="0.35">
      <c r="A212" t="s">
        <v>260</v>
      </c>
      <c r="B212">
        <v>30</v>
      </c>
      <c r="C212" t="s">
        <v>24</v>
      </c>
      <c r="D212" t="s">
        <v>31</v>
      </c>
      <c r="E212" t="s">
        <v>32</v>
      </c>
      <c r="F212" t="s">
        <v>18</v>
      </c>
      <c r="G212" s="1">
        <v>45705</v>
      </c>
      <c r="H212" s="1">
        <v>45716</v>
      </c>
      <c r="I212" s="4">
        <v>118238</v>
      </c>
      <c r="J212" t="s">
        <v>37</v>
      </c>
      <c r="K212" t="s">
        <v>29</v>
      </c>
      <c r="L212" t="s">
        <v>21</v>
      </c>
      <c r="M212" t="s">
        <v>22</v>
      </c>
      <c r="N212">
        <v>4</v>
      </c>
      <c r="X212">
        <v>2</v>
      </c>
      <c r="AB212" t="str">
        <f t="shared" si="3"/>
        <v>Feb</v>
      </c>
    </row>
    <row r="213" spans="1:28" x14ac:dyDescent="0.35">
      <c r="A213" t="s">
        <v>261</v>
      </c>
      <c r="B213">
        <v>33</v>
      </c>
      <c r="C213" t="s">
        <v>24</v>
      </c>
      <c r="D213" t="s">
        <v>16</v>
      </c>
      <c r="E213" t="s">
        <v>51</v>
      </c>
      <c r="F213" t="s">
        <v>41</v>
      </c>
      <c r="G213" s="1">
        <v>45368</v>
      </c>
      <c r="H213" s="1">
        <v>45385</v>
      </c>
      <c r="I213" s="4">
        <v>24163</v>
      </c>
      <c r="J213" t="s">
        <v>28</v>
      </c>
      <c r="K213" t="s">
        <v>42</v>
      </c>
      <c r="L213" t="s">
        <v>33</v>
      </c>
      <c r="M213" t="s">
        <v>22</v>
      </c>
      <c r="N213">
        <v>4</v>
      </c>
      <c r="X213">
        <v>3</v>
      </c>
      <c r="AB213" t="str">
        <f t="shared" si="3"/>
        <v>Mar</v>
      </c>
    </row>
    <row r="214" spans="1:28" x14ac:dyDescent="0.35">
      <c r="A214" t="s">
        <v>262</v>
      </c>
      <c r="B214">
        <v>25</v>
      </c>
      <c r="C214" t="s">
        <v>15</v>
      </c>
      <c r="D214" t="s">
        <v>50</v>
      </c>
      <c r="E214" t="s">
        <v>26</v>
      </c>
      <c r="F214" t="s">
        <v>18</v>
      </c>
      <c r="G214" s="1">
        <v>45830</v>
      </c>
      <c r="H214" s="1">
        <v>45841</v>
      </c>
      <c r="I214" s="4">
        <v>106328</v>
      </c>
      <c r="J214" t="s">
        <v>19</v>
      </c>
      <c r="K214" t="s">
        <v>63</v>
      </c>
      <c r="L214" t="s">
        <v>46</v>
      </c>
      <c r="M214" t="s">
        <v>22</v>
      </c>
      <c r="N214">
        <v>5</v>
      </c>
      <c r="X214">
        <v>6</v>
      </c>
      <c r="AB214" t="str">
        <f t="shared" si="3"/>
        <v>Jun</v>
      </c>
    </row>
    <row r="215" spans="1:28" x14ac:dyDescent="0.35">
      <c r="A215" t="s">
        <v>263</v>
      </c>
      <c r="B215">
        <v>39</v>
      </c>
      <c r="C215" t="s">
        <v>15</v>
      </c>
      <c r="D215" t="s">
        <v>25</v>
      </c>
      <c r="E215" t="s">
        <v>51</v>
      </c>
      <c r="F215" t="s">
        <v>18</v>
      </c>
      <c r="G215" s="1">
        <v>45567</v>
      </c>
      <c r="H215" s="1">
        <v>45572</v>
      </c>
      <c r="I215" s="4">
        <v>155015</v>
      </c>
      <c r="J215" t="s">
        <v>61</v>
      </c>
      <c r="K215" t="s">
        <v>20</v>
      </c>
      <c r="L215" t="s">
        <v>43</v>
      </c>
      <c r="M215" t="s">
        <v>38</v>
      </c>
      <c r="N215">
        <v>4</v>
      </c>
      <c r="X215">
        <v>10</v>
      </c>
      <c r="AB215" t="str">
        <f t="shared" si="3"/>
        <v>Oct</v>
      </c>
    </row>
    <row r="216" spans="1:28" x14ac:dyDescent="0.35">
      <c r="A216" t="s">
        <v>264</v>
      </c>
      <c r="B216">
        <v>33</v>
      </c>
      <c r="C216" t="s">
        <v>24</v>
      </c>
      <c r="D216" t="s">
        <v>25</v>
      </c>
      <c r="E216" t="s">
        <v>51</v>
      </c>
      <c r="F216" t="s">
        <v>56</v>
      </c>
      <c r="G216" s="1">
        <v>45443</v>
      </c>
      <c r="H216" s="1">
        <v>45451</v>
      </c>
      <c r="I216" s="4">
        <v>26021</v>
      </c>
      <c r="J216" t="s">
        <v>28</v>
      </c>
      <c r="K216" t="s">
        <v>63</v>
      </c>
      <c r="L216" t="s">
        <v>43</v>
      </c>
      <c r="M216" t="s">
        <v>64</v>
      </c>
      <c r="N216">
        <v>3</v>
      </c>
      <c r="X216">
        <v>5</v>
      </c>
      <c r="AB216" t="str">
        <f t="shared" si="3"/>
        <v>May</v>
      </c>
    </row>
    <row r="217" spans="1:28" x14ac:dyDescent="0.35">
      <c r="A217" t="s">
        <v>265</v>
      </c>
      <c r="B217">
        <v>38</v>
      </c>
      <c r="C217" t="s">
        <v>24</v>
      </c>
      <c r="D217" t="s">
        <v>31</v>
      </c>
      <c r="E217" t="s">
        <v>40</v>
      </c>
      <c r="F217" t="s">
        <v>36</v>
      </c>
      <c r="G217" s="1">
        <v>45459</v>
      </c>
      <c r="H217" s="1">
        <v>45460</v>
      </c>
      <c r="I217" s="4">
        <v>67746</v>
      </c>
      <c r="J217" t="s">
        <v>61</v>
      </c>
      <c r="K217" t="s">
        <v>63</v>
      </c>
      <c r="L217" t="s">
        <v>21</v>
      </c>
      <c r="M217" t="s">
        <v>22</v>
      </c>
      <c r="N217">
        <v>3</v>
      </c>
      <c r="X217">
        <v>6</v>
      </c>
      <c r="AB217" t="str">
        <f t="shared" si="3"/>
        <v>Jun</v>
      </c>
    </row>
    <row r="218" spans="1:28" x14ac:dyDescent="0.35">
      <c r="A218" t="s">
        <v>266</v>
      </c>
      <c r="B218">
        <v>69</v>
      </c>
      <c r="C218" t="s">
        <v>15</v>
      </c>
      <c r="D218" t="s">
        <v>58</v>
      </c>
      <c r="E218" t="s">
        <v>17</v>
      </c>
      <c r="F218" t="s">
        <v>27</v>
      </c>
      <c r="G218" s="1">
        <v>45582</v>
      </c>
      <c r="H218" s="1">
        <v>45591</v>
      </c>
      <c r="I218" s="4">
        <v>209187</v>
      </c>
      <c r="J218" t="s">
        <v>19</v>
      </c>
      <c r="K218" t="s">
        <v>29</v>
      </c>
      <c r="L218" t="s">
        <v>21</v>
      </c>
      <c r="M218" t="s">
        <v>64</v>
      </c>
      <c r="N218">
        <v>1</v>
      </c>
      <c r="X218">
        <v>10</v>
      </c>
      <c r="AB218" t="str">
        <f t="shared" si="3"/>
        <v>Oct</v>
      </c>
    </row>
    <row r="219" spans="1:28" x14ac:dyDescent="0.35">
      <c r="A219" t="s">
        <v>267</v>
      </c>
      <c r="B219">
        <v>76</v>
      </c>
      <c r="C219" t="s">
        <v>24</v>
      </c>
      <c r="D219" t="s">
        <v>58</v>
      </c>
      <c r="E219" t="s">
        <v>35</v>
      </c>
      <c r="F219" t="s">
        <v>27</v>
      </c>
      <c r="G219" s="1">
        <v>45857</v>
      </c>
      <c r="H219" s="1">
        <v>45868</v>
      </c>
      <c r="I219" s="4">
        <v>190845</v>
      </c>
      <c r="J219" t="s">
        <v>28</v>
      </c>
      <c r="K219" t="s">
        <v>42</v>
      </c>
      <c r="L219" t="s">
        <v>21</v>
      </c>
      <c r="M219" t="s">
        <v>38</v>
      </c>
      <c r="N219">
        <v>1</v>
      </c>
      <c r="X219">
        <v>7</v>
      </c>
      <c r="AB219" t="str">
        <f t="shared" si="3"/>
        <v>Jul</v>
      </c>
    </row>
    <row r="220" spans="1:28" x14ac:dyDescent="0.35">
      <c r="A220" t="s">
        <v>268</v>
      </c>
      <c r="B220">
        <v>66</v>
      </c>
      <c r="C220" t="s">
        <v>15</v>
      </c>
      <c r="D220" t="s">
        <v>50</v>
      </c>
      <c r="E220" t="s">
        <v>35</v>
      </c>
      <c r="F220" t="s">
        <v>41</v>
      </c>
      <c r="G220" s="1">
        <v>45432</v>
      </c>
      <c r="H220" s="1">
        <v>45450</v>
      </c>
      <c r="I220" s="4">
        <v>208235</v>
      </c>
      <c r="J220" t="s">
        <v>61</v>
      </c>
      <c r="K220" t="s">
        <v>20</v>
      </c>
      <c r="L220" t="s">
        <v>48</v>
      </c>
      <c r="M220" t="s">
        <v>64</v>
      </c>
      <c r="N220">
        <v>1</v>
      </c>
      <c r="X220">
        <v>5</v>
      </c>
      <c r="AB220" t="str">
        <f t="shared" si="3"/>
        <v>May</v>
      </c>
    </row>
    <row r="221" spans="1:28" x14ac:dyDescent="0.35">
      <c r="A221" t="s">
        <v>269</v>
      </c>
      <c r="B221">
        <v>51</v>
      </c>
      <c r="C221" t="s">
        <v>24</v>
      </c>
      <c r="D221" t="s">
        <v>58</v>
      </c>
      <c r="E221" t="s">
        <v>32</v>
      </c>
      <c r="F221" t="s">
        <v>56</v>
      </c>
      <c r="G221" s="1">
        <v>45826</v>
      </c>
      <c r="H221" s="1">
        <v>45827</v>
      </c>
      <c r="I221" s="4">
        <v>135332</v>
      </c>
      <c r="J221" t="s">
        <v>61</v>
      </c>
      <c r="K221" t="s">
        <v>63</v>
      </c>
      <c r="L221" t="s">
        <v>48</v>
      </c>
      <c r="M221" t="s">
        <v>22</v>
      </c>
      <c r="N221">
        <v>2</v>
      </c>
      <c r="X221">
        <v>6</v>
      </c>
      <c r="AB221" t="str">
        <f t="shared" si="3"/>
        <v>Jun</v>
      </c>
    </row>
    <row r="222" spans="1:28" x14ac:dyDescent="0.35">
      <c r="A222" t="s">
        <v>270</v>
      </c>
      <c r="B222">
        <v>72</v>
      </c>
      <c r="C222" t="s">
        <v>24</v>
      </c>
      <c r="D222" t="s">
        <v>16</v>
      </c>
      <c r="E222" t="s">
        <v>51</v>
      </c>
      <c r="F222" t="s">
        <v>36</v>
      </c>
      <c r="G222" s="1">
        <v>45707</v>
      </c>
      <c r="H222" s="1">
        <v>45721</v>
      </c>
      <c r="I222" s="4">
        <v>162337</v>
      </c>
      <c r="J222" t="s">
        <v>61</v>
      </c>
      <c r="K222" t="s">
        <v>42</v>
      </c>
      <c r="L222" t="s">
        <v>46</v>
      </c>
      <c r="M222" t="s">
        <v>64</v>
      </c>
      <c r="N222">
        <v>4</v>
      </c>
      <c r="X222">
        <v>2</v>
      </c>
      <c r="AB222" t="str">
        <f t="shared" si="3"/>
        <v>Feb</v>
      </c>
    </row>
    <row r="223" spans="1:28" x14ac:dyDescent="0.35">
      <c r="A223" t="s">
        <v>271</v>
      </c>
      <c r="B223">
        <v>22</v>
      </c>
      <c r="C223" t="s">
        <v>15</v>
      </c>
      <c r="D223" t="s">
        <v>45</v>
      </c>
      <c r="E223" t="s">
        <v>17</v>
      </c>
      <c r="F223" t="s">
        <v>36</v>
      </c>
      <c r="G223" s="1">
        <v>45710</v>
      </c>
      <c r="H223" s="1">
        <v>45718</v>
      </c>
      <c r="I223" s="4">
        <v>243034</v>
      </c>
      <c r="J223" t="s">
        <v>19</v>
      </c>
      <c r="K223" t="s">
        <v>20</v>
      </c>
      <c r="L223" t="s">
        <v>46</v>
      </c>
      <c r="M223" t="s">
        <v>22</v>
      </c>
      <c r="N223">
        <v>3</v>
      </c>
      <c r="X223">
        <v>2</v>
      </c>
      <c r="AB223" t="str">
        <f t="shared" si="3"/>
        <v>Feb</v>
      </c>
    </row>
    <row r="224" spans="1:28" x14ac:dyDescent="0.35">
      <c r="A224" t="s">
        <v>272</v>
      </c>
      <c r="B224">
        <v>81</v>
      </c>
      <c r="C224" t="s">
        <v>24</v>
      </c>
      <c r="D224" t="s">
        <v>25</v>
      </c>
      <c r="E224" t="s">
        <v>32</v>
      </c>
      <c r="F224" t="s">
        <v>36</v>
      </c>
      <c r="G224" s="1">
        <v>45418</v>
      </c>
      <c r="H224" s="1">
        <v>45430</v>
      </c>
      <c r="I224" s="4">
        <v>182799</v>
      </c>
      <c r="J224" t="s">
        <v>37</v>
      </c>
      <c r="K224" t="s">
        <v>20</v>
      </c>
      <c r="L224" t="s">
        <v>33</v>
      </c>
      <c r="M224" t="s">
        <v>38</v>
      </c>
      <c r="N224">
        <v>2</v>
      </c>
      <c r="X224">
        <v>5</v>
      </c>
      <c r="AB224" t="str">
        <f t="shared" si="3"/>
        <v>May</v>
      </c>
    </row>
    <row r="225" spans="1:28" x14ac:dyDescent="0.35">
      <c r="A225" t="s">
        <v>273</v>
      </c>
      <c r="B225">
        <v>45</v>
      </c>
      <c r="C225" t="s">
        <v>24</v>
      </c>
      <c r="D225" t="s">
        <v>25</v>
      </c>
      <c r="E225" t="s">
        <v>40</v>
      </c>
      <c r="F225" t="s">
        <v>27</v>
      </c>
      <c r="G225" s="1">
        <v>45544</v>
      </c>
      <c r="H225" s="1">
        <v>45554</v>
      </c>
      <c r="I225" s="4">
        <v>81594</v>
      </c>
      <c r="J225" t="s">
        <v>19</v>
      </c>
      <c r="K225" t="s">
        <v>63</v>
      </c>
      <c r="L225" t="s">
        <v>46</v>
      </c>
      <c r="M225" t="s">
        <v>64</v>
      </c>
      <c r="N225">
        <v>1</v>
      </c>
      <c r="X225">
        <v>9</v>
      </c>
      <c r="AB225" t="str">
        <f t="shared" si="3"/>
        <v>Sep</v>
      </c>
    </row>
    <row r="226" spans="1:28" x14ac:dyDescent="0.35">
      <c r="A226" t="s">
        <v>274</v>
      </c>
      <c r="B226">
        <v>33</v>
      </c>
      <c r="C226" t="s">
        <v>24</v>
      </c>
      <c r="D226" t="s">
        <v>45</v>
      </c>
      <c r="E226" t="s">
        <v>17</v>
      </c>
      <c r="F226" t="s">
        <v>18</v>
      </c>
      <c r="G226" s="1">
        <v>45978</v>
      </c>
      <c r="H226" s="1">
        <v>45989</v>
      </c>
      <c r="I226" s="4">
        <v>110837</v>
      </c>
      <c r="J226" t="s">
        <v>19</v>
      </c>
      <c r="K226" t="s">
        <v>63</v>
      </c>
      <c r="L226" t="s">
        <v>43</v>
      </c>
      <c r="M226" t="s">
        <v>22</v>
      </c>
      <c r="N226">
        <v>5</v>
      </c>
      <c r="X226">
        <v>11</v>
      </c>
      <c r="AB226" t="str">
        <f t="shared" si="3"/>
        <v>Nov</v>
      </c>
    </row>
    <row r="227" spans="1:28" x14ac:dyDescent="0.35">
      <c r="A227" t="s">
        <v>275</v>
      </c>
      <c r="B227">
        <v>27</v>
      </c>
      <c r="C227" t="s">
        <v>24</v>
      </c>
      <c r="D227" t="s">
        <v>50</v>
      </c>
      <c r="E227" t="s">
        <v>51</v>
      </c>
      <c r="F227" t="s">
        <v>41</v>
      </c>
      <c r="G227" s="1">
        <v>45641</v>
      </c>
      <c r="H227" s="1">
        <v>45660</v>
      </c>
      <c r="I227" s="4">
        <v>249707</v>
      </c>
      <c r="J227" t="s">
        <v>28</v>
      </c>
      <c r="K227" t="s">
        <v>63</v>
      </c>
      <c r="L227" t="s">
        <v>21</v>
      </c>
      <c r="M227" t="s">
        <v>38</v>
      </c>
      <c r="N227">
        <v>1</v>
      </c>
      <c r="X227">
        <v>12</v>
      </c>
      <c r="AB227" t="str">
        <f t="shared" si="3"/>
        <v>Dec</v>
      </c>
    </row>
    <row r="228" spans="1:28" x14ac:dyDescent="0.35">
      <c r="A228" t="s">
        <v>276</v>
      </c>
      <c r="B228">
        <v>23</v>
      </c>
      <c r="C228" t="s">
        <v>15</v>
      </c>
      <c r="D228" t="s">
        <v>31</v>
      </c>
      <c r="E228" t="s">
        <v>26</v>
      </c>
      <c r="F228" t="s">
        <v>36</v>
      </c>
      <c r="G228" s="1">
        <v>45967</v>
      </c>
      <c r="H228" s="1">
        <v>45980</v>
      </c>
      <c r="I228" s="4">
        <v>21898</v>
      </c>
      <c r="J228" t="s">
        <v>19</v>
      </c>
      <c r="K228" t="s">
        <v>63</v>
      </c>
      <c r="L228" t="s">
        <v>48</v>
      </c>
      <c r="M228" t="s">
        <v>22</v>
      </c>
      <c r="N228">
        <v>4</v>
      </c>
      <c r="X228">
        <v>11</v>
      </c>
      <c r="AB228" t="str">
        <f t="shared" si="3"/>
        <v>Nov</v>
      </c>
    </row>
    <row r="229" spans="1:28" x14ac:dyDescent="0.35">
      <c r="A229" t="s">
        <v>277</v>
      </c>
      <c r="B229">
        <v>83</v>
      </c>
      <c r="C229" t="s">
        <v>24</v>
      </c>
      <c r="D229" t="s">
        <v>58</v>
      </c>
      <c r="E229" t="s">
        <v>32</v>
      </c>
      <c r="F229" t="s">
        <v>27</v>
      </c>
      <c r="G229" s="1">
        <v>45500</v>
      </c>
      <c r="H229" s="1">
        <v>45514</v>
      </c>
      <c r="I229" s="4">
        <v>118649</v>
      </c>
      <c r="J229" t="s">
        <v>19</v>
      </c>
      <c r="K229" t="s">
        <v>42</v>
      </c>
      <c r="L229" t="s">
        <v>48</v>
      </c>
      <c r="M229" t="s">
        <v>22</v>
      </c>
      <c r="N229">
        <v>2</v>
      </c>
      <c r="X229">
        <v>7</v>
      </c>
      <c r="AB229" t="str">
        <f t="shared" si="3"/>
        <v>Jul</v>
      </c>
    </row>
    <row r="230" spans="1:28" x14ac:dyDescent="0.35">
      <c r="A230" t="s">
        <v>278</v>
      </c>
      <c r="B230">
        <v>43</v>
      </c>
      <c r="C230" t="s">
        <v>24</v>
      </c>
      <c r="D230" t="s">
        <v>31</v>
      </c>
      <c r="E230" t="s">
        <v>40</v>
      </c>
      <c r="F230" t="s">
        <v>18</v>
      </c>
      <c r="G230" s="1">
        <v>45990</v>
      </c>
      <c r="H230" s="1">
        <v>46010</v>
      </c>
      <c r="I230" s="4">
        <v>174592</v>
      </c>
      <c r="J230" t="s">
        <v>19</v>
      </c>
      <c r="K230" t="s">
        <v>42</v>
      </c>
      <c r="L230" t="s">
        <v>48</v>
      </c>
      <c r="M230" t="s">
        <v>22</v>
      </c>
      <c r="N230">
        <v>3</v>
      </c>
      <c r="X230">
        <v>11</v>
      </c>
      <c r="AB230" t="str">
        <f t="shared" si="3"/>
        <v>Nov</v>
      </c>
    </row>
    <row r="231" spans="1:28" x14ac:dyDescent="0.35">
      <c r="A231" t="s">
        <v>279</v>
      </c>
      <c r="B231">
        <v>78</v>
      </c>
      <c r="C231" t="s">
        <v>24</v>
      </c>
      <c r="D231" t="s">
        <v>25</v>
      </c>
      <c r="E231" t="s">
        <v>26</v>
      </c>
      <c r="F231" t="s">
        <v>18</v>
      </c>
      <c r="G231" s="1">
        <v>45985</v>
      </c>
      <c r="H231" s="1">
        <v>45996</v>
      </c>
      <c r="I231" s="4">
        <v>27900</v>
      </c>
      <c r="J231" t="s">
        <v>19</v>
      </c>
      <c r="K231" t="s">
        <v>42</v>
      </c>
      <c r="L231" t="s">
        <v>46</v>
      </c>
      <c r="M231" t="s">
        <v>38</v>
      </c>
      <c r="N231">
        <v>2</v>
      </c>
      <c r="X231">
        <v>11</v>
      </c>
      <c r="AB231" t="str">
        <f t="shared" si="3"/>
        <v>Nov</v>
      </c>
    </row>
    <row r="232" spans="1:28" x14ac:dyDescent="0.35">
      <c r="A232" t="s">
        <v>280</v>
      </c>
      <c r="B232">
        <v>85</v>
      </c>
      <c r="C232" t="s">
        <v>24</v>
      </c>
      <c r="D232" t="s">
        <v>16</v>
      </c>
      <c r="E232" t="s">
        <v>32</v>
      </c>
      <c r="F232" t="s">
        <v>56</v>
      </c>
      <c r="G232" s="1">
        <v>45654</v>
      </c>
      <c r="H232" s="1">
        <v>45672</v>
      </c>
      <c r="I232" s="4">
        <v>163363</v>
      </c>
      <c r="J232" t="s">
        <v>37</v>
      </c>
      <c r="K232" t="s">
        <v>20</v>
      </c>
      <c r="L232" t="s">
        <v>46</v>
      </c>
      <c r="M232" t="s">
        <v>38</v>
      </c>
      <c r="N232">
        <v>5</v>
      </c>
      <c r="X232">
        <v>12</v>
      </c>
      <c r="AB232" t="str">
        <f t="shared" si="3"/>
        <v>Dec</v>
      </c>
    </row>
    <row r="233" spans="1:28" x14ac:dyDescent="0.35">
      <c r="A233" t="s">
        <v>281</v>
      </c>
      <c r="B233">
        <v>19</v>
      </c>
      <c r="C233" t="s">
        <v>24</v>
      </c>
      <c r="D233" t="s">
        <v>58</v>
      </c>
      <c r="E233" t="s">
        <v>40</v>
      </c>
      <c r="F233" t="s">
        <v>41</v>
      </c>
      <c r="G233" s="1">
        <v>45303</v>
      </c>
      <c r="H233" s="1">
        <v>45309</v>
      </c>
      <c r="I233" s="4">
        <v>151200</v>
      </c>
      <c r="J233" t="s">
        <v>61</v>
      </c>
      <c r="K233" t="s">
        <v>20</v>
      </c>
      <c r="L233" t="s">
        <v>46</v>
      </c>
      <c r="M233" t="s">
        <v>22</v>
      </c>
      <c r="N233">
        <v>3</v>
      </c>
      <c r="X233">
        <v>1</v>
      </c>
      <c r="AB233" t="str">
        <f t="shared" si="3"/>
        <v>Jan</v>
      </c>
    </row>
    <row r="234" spans="1:28" x14ac:dyDescent="0.35">
      <c r="A234" t="s">
        <v>282</v>
      </c>
      <c r="B234">
        <v>84</v>
      </c>
      <c r="C234" t="s">
        <v>15</v>
      </c>
      <c r="D234" t="s">
        <v>58</v>
      </c>
      <c r="E234" t="s">
        <v>51</v>
      </c>
      <c r="F234" t="s">
        <v>36</v>
      </c>
      <c r="G234" s="1">
        <v>45815</v>
      </c>
      <c r="H234" s="1">
        <v>45829</v>
      </c>
      <c r="I234" s="4">
        <v>232288</v>
      </c>
      <c r="J234" t="s">
        <v>61</v>
      </c>
      <c r="K234" t="s">
        <v>63</v>
      </c>
      <c r="L234" t="s">
        <v>33</v>
      </c>
      <c r="M234" t="s">
        <v>64</v>
      </c>
      <c r="N234">
        <v>5</v>
      </c>
      <c r="X234">
        <v>6</v>
      </c>
      <c r="AB234" t="str">
        <f t="shared" si="3"/>
        <v>Jun</v>
      </c>
    </row>
    <row r="235" spans="1:28" x14ac:dyDescent="0.35">
      <c r="A235" t="s">
        <v>283</v>
      </c>
      <c r="B235">
        <v>78</v>
      </c>
      <c r="C235" t="s">
        <v>15</v>
      </c>
      <c r="D235" t="s">
        <v>50</v>
      </c>
      <c r="E235" t="s">
        <v>51</v>
      </c>
      <c r="F235" t="s">
        <v>56</v>
      </c>
      <c r="G235" s="1">
        <v>45330</v>
      </c>
      <c r="H235" s="1">
        <v>45341</v>
      </c>
      <c r="I235" s="4">
        <v>29593</v>
      </c>
      <c r="J235" t="s">
        <v>28</v>
      </c>
      <c r="K235" t="s">
        <v>42</v>
      </c>
      <c r="L235" t="s">
        <v>33</v>
      </c>
      <c r="M235" t="s">
        <v>22</v>
      </c>
      <c r="N235">
        <v>3</v>
      </c>
      <c r="X235">
        <v>2</v>
      </c>
      <c r="AB235" t="str">
        <f t="shared" si="3"/>
        <v>Feb</v>
      </c>
    </row>
    <row r="236" spans="1:28" x14ac:dyDescent="0.35">
      <c r="A236" t="s">
        <v>284</v>
      </c>
      <c r="B236">
        <v>53</v>
      </c>
      <c r="C236" t="s">
        <v>15</v>
      </c>
      <c r="D236" t="s">
        <v>25</v>
      </c>
      <c r="E236" t="s">
        <v>26</v>
      </c>
      <c r="F236" t="s">
        <v>18</v>
      </c>
      <c r="G236" s="1">
        <v>45317</v>
      </c>
      <c r="H236" s="1">
        <v>45331</v>
      </c>
      <c r="I236" s="4">
        <v>165494</v>
      </c>
      <c r="J236" t="s">
        <v>37</v>
      </c>
      <c r="K236" t="s">
        <v>29</v>
      </c>
      <c r="L236" t="s">
        <v>21</v>
      </c>
      <c r="M236" t="s">
        <v>38</v>
      </c>
      <c r="N236">
        <v>2</v>
      </c>
      <c r="X236">
        <v>1</v>
      </c>
      <c r="AB236" t="str">
        <f t="shared" si="3"/>
        <v>Jan</v>
      </c>
    </row>
    <row r="237" spans="1:28" x14ac:dyDescent="0.35">
      <c r="A237" t="s">
        <v>285</v>
      </c>
      <c r="B237">
        <v>60</v>
      </c>
      <c r="C237" t="s">
        <v>24</v>
      </c>
      <c r="D237" t="s">
        <v>45</v>
      </c>
      <c r="E237" t="s">
        <v>35</v>
      </c>
      <c r="F237" t="s">
        <v>41</v>
      </c>
      <c r="G237" s="1">
        <v>45749</v>
      </c>
      <c r="H237" s="1">
        <v>45759</v>
      </c>
      <c r="I237" s="4">
        <v>130439</v>
      </c>
      <c r="J237" t="s">
        <v>37</v>
      </c>
      <c r="K237" t="s">
        <v>63</v>
      </c>
      <c r="L237" t="s">
        <v>43</v>
      </c>
      <c r="M237" t="s">
        <v>22</v>
      </c>
      <c r="N237">
        <v>2</v>
      </c>
      <c r="X237">
        <v>4</v>
      </c>
      <c r="AB237" t="str">
        <f t="shared" si="3"/>
        <v>Apr</v>
      </c>
    </row>
    <row r="238" spans="1:28" x14ac:dyDescent="0.35">
      <c r="A238" t="s">
        <v>286</v>
      </c>
      <c r="B238">
        <v>47</v>
      </c>
      <c r="C238" t="s">
        <v>24</v>
      </c>
      <c r="D238" t="s">
        <v>16</v>
      </c>
      <c r="E238" t="s">
        <v>40</v>
      </c>
      <c r="F238" t="s">
        <v>56</v>
      </c>
      <c r="G238" s="1">
        <v>45737</v>
      </c>
      <c r="H238" s="1">
        <v>45752</v>
      </c>
      <c r="I238" s="4">
        <v>72935</v>
      </c>
      <c r="J238" t="s">
        <v>61</v>
      </c>
      <c r="K238" t="s">
        <v>20</v>
      </c>
      <c r="L238" t="s">
        <v>21</v>
      </c>
      <c r="M238" t="s">
        <v>64</v>
      </c>
      <c r="N238">
        <v>2</v>
      </c>
      <c r="X238">
        <v>3</v>
      </c>
      <c r="AB238" t="str">
        <f t="shared" si="3"/>
        <v>Mar</v>
      </c>
    </row>
    <row r="239" spans="1:28" x14ac:dyDescent="0.35">
      <c r="A239" t="s">
        <v>287</v>
      </c>
      <c r="B239">
        <v>22</v>
      </c>
      <c r="C239" t="s">
        <v>24</v>
      </c>
      <c r="D239" t="s">
        <v>16</v>
      </c>
      <c r="E239" t="s">
        <v>40</v>
      </c>
      <c r="F239" t="s">
        <v>27</v>
      </c>
      <c r="G239" s="1">
        <v>45854</v>
      </c>
      <c r="H239" s="1">
        <v>45865</v>
      </c>
      <c r="I239" s="4">
        <v>50521</v>
      </c>
      <c r="J239" t="s">
        <v>37</v>
      </c>
      <c r="K239" t="s">
        <v>42</v>
      </c>
      <c r="L239" t="s">
        <v>21</v>
      </c>
      <c r="M239" t="s">
        <v>22</v>
      </c>
      <c r="N239">
        <v>5</v>
      </c>
      <c r="X239">
        <v>7</v>
      </c>
      <c r="AB239" t="str">
        <f t="shared" si="3"/>
        <v>Jul</v>
      </c>
    </row>
    <row r="240" spans="1:28" x14ac:dyDescent="0.35">
      <c r="A240" t="s">
        <v>288</v>
      </c>
      <c r="B240">
        <v>78</v>
      </c>
      <c r="C240" t="s">
        <v>24</v>
      </c>
      <c r="D240" t="s">
        <v>45</v>
      </c>
      <c r="E240" t="s">
        <v>32</v>
      </c>
      <c r="F240" t="s">
        <v>56</v>
      </c>
      <c r="G240" s="1">
        <v>45474</v>
      </c>
      <c r="H240" s="1">
        <v>45485</v>
      </c>
      <c r="I240" s="4">
        <v>143030</v>
      </c>
      <c r="J240" t="s">
        <v>61</v>
      </c>
      <c r="K240" t="s">
        <v>63</v>
      </c>
      <c r="L240" t="s">
        <v>33</v>
      </c>
      <c r="M240" t="s">
        <v>64</v>
      </c>
      <c r="N240">
        <v>4</v>
      </c>
      <c r="X240">
        <v>7</v>
      </c>
      <c r="AB240" t="str">
        <f t="shared" si="3"/>
        <v>Jul</v>
      </c>
    </row>
    <row r="241" spans="1:28" x14ac:dyDescent="0.35">
      <c r="A241" t="s">
        <v>289</v>
      </c>
      <c r="B241">
        <v>25</v>
      </c>
      <c r="C241" t="s">
        <v>24</v>
      </c>
      <c r="D241" t="s">
        <v>53</v>
      </c>
      <c r="E241" t="s">
        <v>26</v>
      </c>
      <c r="F241" t="s">
        <v>18</v>
      </c>
      <c r="G241" s="1">
        <v>45445</v>
      </c>
      <c r="H241" s="1">
        <v>45446</v>
      </c>
      <c r="I241" s="4">
        <v>152432</v>
      </c>
      <c r="J241" t="s">
        <v>28</v>
      </c>
      <c r="K241" t="s">
        <v>29</v>
      </c>
      <c r="L241" t="s">
        <v>48</v>
      </c>
      <c r="M241" t="s">
        <v>22</v>
      </c>
      <c r="N241">
        <v>5</v>
      </c>
      <c r="X241">
        <v>6</v>
      </c>
      <c r="AB241" t="str">
        <f t="shared" si="3"/>
        <v>Jun</v>
      </c>
    </row>
    <row r="242" spans="1:28" x14ac:dyDescent="0.35">
      <c r="A242" t="s">
        <v>290</v>
      </c>
      <c r="B242">
        <v>33</v>
      </c>
      <c r="C242" t="s">
        <v>24</v>
      </c>
      <c r="D242" t="s">
        <v>31</v>
      </c>
      <c r="E242" t="s">
        <v>32</v>
      </c>
      <c r="F242" t="s">
        <v>56</v>
      </c>
      <c r="G242" s="1">
        <v>45525</v>
      </c>
      <c r="H242" s="1">
        <v>45531</v>
      </c>
      <c r="I242" s="4">
        <v>134664</v>
      </c>
      <c r="J242" t="s">
        <v>28</v>
      </c>
      <c r="K242" t="s">
        <v>63</v>
      </c>
      <c r="L242" t="s">
        <v>43</v>
      </c>
      <c r="M242" t="s">
        <v>38</v>
      </c>
      <c r="N242">
        <v>3</v>
      </c>
      <c r="X242">
        <v>8</v>
      </c>
      <c r="AB242" t="str">
        <f t="shared" si="3"/>
        <v>Aug</v>
      </c>
    </row>
    <row r="243" spans="1:28" x14ac:dyDescent="0.35">
      <c r="A243" t="s">
        <v>291</v>
      </c>
      <c r="B243">
        <v>42</v>
      </c>
      <c r="C243" t="s">
        <v>24</v>
      </c>
      <c r="D243" t="s">
        <v>16</v>
      </c>
      <c r="E243" t="s">
        <v>35</v>
      </c>
      <c r="F243" t="s">
        <v>41</v>
      </c>
      <c r="G243" s="1">
        <v>45429</v>
      </c>
      <c r="H243" s="1">
        <v>45439</v>
      </c>
      <c r="I243" s="4">
        <v>73041</v>
      </c>
      <c r="J243" t="s">
        <v>61</v>
      </c>
      <c r="K243" t="s">
        <v>29</v>
      </c>
      <c r="L243" t="s">
        <v>48</v>
      </c>
      <c r="M243" t="s">
        <v>38</v>
      </c>
      <c r="N243">
        <v>3</v>
      </c>
      <c r="X243">
        <v>5</v>
      </c>
      <c r="AB243" t="str">
        <f t="shared" si="3"/>
        <v>May</v>
      </c>
    </row>
    <row r="244" spans="1:28" x14ac:dyDescent="0.35">
      <c r="A244" t="s">
        <v>292</v>
      </c>
      <c r="B244">
        <v>18</v>
      </c>
      <c r="C244" t="s">
        <v>15</v>
      </c>
      <c r="D244" t="s">
        <v>25</v>
      </c>
      <c r="E244" t="s">
        <v>51</v>
      </c>
      <c r="F244" t="s">
        <v>56</v>
      </c>
      <c r="G244" s="1">
        <v>46003</v>
      </c>
      <c r="H244" s="1">
        <v>46020</v>
      </c>
      <c r="I244" s="4">
        <v>224766</v>
      </c>
      <c r="J244" t="s">
        <v>37</v>
      </c>
      <c r="K244" t="s">
        <v>42</v>
      </c>
      <c r="L244" t="s">
        <v>46</v>
      </c>
      <c r="M244" t="s">
        <v>38</v>
      </c>
      <c r="N244">
        <v>3</v>
      </c>
      <c r="X244">
        <v>12</v>
      </c>
      <c r="AB244" t="str">
        <f t="shared" si="3"/>
        <v>Dec</v>
      </c>
    </row>
    <row r="245" spans="1:28" x14ac:dyDescent="0.35">
      <c r="A245" t="s">
        <v>293</v>
      </c>
      <c r="B245">
        <v>47</v>
      </c>
      <c r="C245" t="s">
        <v>24</v>
      </c>
      <c r="D245" t="s">
        <v>58</v>
      </c>
      <c r="E245" t="s">
        <v>40</v>
      </c>
      <c r="F245" t="s">
        <v>27</v>
      </c>
      <c r="G245" s="1">
        <v>45575</v>
      </c>
      <c r="H245" s="1">
        <v>45577</v>
      </c>
      <c r="I245" s="4">
        <v>60832</v>
      </c>
      <c r="J245" t="s">
        <v>37</v>
      </c>
      <c r="K245" t="s">
        <v>63</v>
      </c>
      <c r="L245" t="s">
        <v>48</v>
      </c>
      <c r="M245" t="s">
        <v>64</v>
      </c>
      <c r="N245">
        <v>2</v>
      </c>
      <c r="X245">
        <v>10</v>
      </c>
      <c r="AB245" t="str">
        <f t="shared" si="3"/>
        <v>Oct</v>
      </c>
    </row>
    <row r="246" spans="1:28" x14ac:dyDescent="0.35">
      <c r="A246" t="s">
        <v>294</v>
      </c>
      <c r="B246">
        <v>27</v>
      </c>
      <c r="C246" t="s">
        <v>15</v>
      </c>
      <c r="D246" t="s">
        <v>25</v>
      </c>
      <c r="E246" t="s">
        <v>35</v>
      </c>
      <c r="F246" t="s">
        <v>27</v>
      </c>
      <c r="G246" s="1">
        <v>45724</v>
      </c>
      <c r="H246" s="1">
        <v>45730</v>
      </c>
      <c r="I246" s="4">
        <v>205220</v>
      </c>
      <c r="J246" t="s">
        <v>28</v>
      </c>
      <c r="K246" t="s">
        <v>42</v>
      </c>
      <c r="L246" t="s">
        <v>48</v>
      </c>
      <c r="M246" t="s">
        <v>64</v>
      </c>
      <c r="N246">
        <v>2</v>
      </c>
      <c r="X246">
        <v>3</v>
      </c>
      <c r="AB246" t="str">
        <f t="shared" si="3"/>
        <v>Mar</v>
      </c>
    </row>
    <row r="247" spans="1:28" x14ac:dyDescent="0.35">
      <c r="A247" t="s">
        <v>295</v>
      </c>
      <c r="B247">
        <v>21</v>
      </c>
      <c r="C247" t="s">
        <v>15</v>
      </c>
      <c r="D247" t="s">
        <v>50</v>
      </c>
      <c r="E247" t="s">
        <v>51</v>
      </c>
      <c r="F247" t="s">
        <v>41</v>
      </c>
      <c r="G247" s="1">
        <v>45911</v>
      </c>
      <c r="H247" s="1">
        <v>45912</v>
      </c>
      <c r="I247" s="4">
        <v>24441</v>
      </c>
      <c r="J247" t="s">
        <v>28</v>
      </c>
      <c r="K247" t="s">
        <v>42</v>
      </c>
      <c r="L247" t="s">
        <v>21</v>
      </c>
      <c r="M247" t="s">
        <v>64</v>
      </c>
      <c r="N247">
        <v>3</v>
      </c>
      <c r="X247">
        <v>9</v>
      </c>
      <c r="AB247" t="str">
        <f t="shared" si="3"/>
        <v>Sep</v>
      </c>
    </row>
    <row r="248" spans="1:28" x14ac:dyDescent="0.35">
      <c r="A248" t="s">
        <v>296</v>
      </c>
      <c r="B248">
        <v>81</v>
      </c>
      <c r="C248" t="s">
        <v>24</v>
      </c>
      <c r="D248" t="s">
        <v>25</v>
      </c>
      <c r="E248" t="s">
        <v>17</v>
      </c>
      <c r="F248" t="s">
        <v>56</v>
      </c>
      <c r="G248" s="1">
        <v>45473</v>
      </c>
      <c r="H248" s="1">
        <v>45490</v>
      </c>
      <c r="I248" s="4">
        <v>58034</v>
      </c>
      <c r="J248" t="s">
        <v>19</v>
      </c>
      <c r="K248" t="s">
        <v>29</v>
      </c>
      <c r="L248" t="s">
        <v>46</v>
      </c>
      <c r="M248" t="s">
        <v>38</v>
      </c>
      <c r="N248">
        <v>5</v>
      </c>
      <c r="X248">
        <v>6</v>
      </c>
      <c r="AB248" t="str">
        <f t="shared" si="3"/>
        <v>Jun</v>
      </c>
    </row>
    <row r="249" spans="1:28" x14ac:dyDescent="0.35">
      <c r="A249" t="s">
        <v>297</v>
      </c>
      <c r="B249">
        <v>82</v>
      </c>
      <c r="C249" t="s">
        <v>15</v>
      </c>
      <c r="D249" t="s">
        <v>58</v>
      </c>
      <c r="E249" t="s">
        <v>26</v>
      </c>
      <c r="F249" t="s">
        <v>56</v>
      </c>
      <c r="G249" s="1">
        <v>45698</v>
      </c>
      <c r="H249" s="1">
        <v>45716</v>
      </c>
      <c r="I249" s="4">
        <v>172869</v>
      </c>
      <c r="J249" t="s">
        <v>28</v>
      </c>
      <c r="K249" t="s">
        <v>42</v>
      </c>
      <c r="L249" t="s">
        <v>43</v>
      </c>
      <c r="M249" t="s">
        <v>64</v>
      </c>
      <c r="N249">
        <v>3</v>
      </c>
      <c r="X249">
        <v>2</v>
      </c>
      <c r="AB249" t="str">
        <f t="shared" si="3"/>
        <v>Feb</v>
      </c>
    </row>
    <row r="250" spans="1:28" x14ac:dyDescent="0.35">
      <c r="A250" t="s">
        <v>298</v>
      </c>
      <c r="B250">
        <v>83</v>
      </c>
      <c r="C250" t="s">
        <v>24</v>
      </c>
      <c r="D250" t="s">
        <v>25</v>
      </c>
      <c r="E250" t="s">
        <v>51</v>
      </c>
      <c r="F250" t="s">
        <v>56</v>
      </c>
      <c r="G250" s="1">
        <v>45384</v>
      </c>
      <c r="H250" s="1">
        <v>45397</v>
      </c>
      <c r="I250" s="4">
        <v>84821</v>
      </c>
      <c r="J250" t="s">
        <v>28</v>
      </c>
      <c r="K250" t="s">
        <v>63</v>
      </c>
      <c r="L250" t="s">
        <v>48</v>
      </c>
      <c r="M250" t="s">
        <v>38</v>
      </c>
      <c r="N250">
        <v>1</v>
      </c>
      <c r="X250">
        <v>4</v>
      </c>
      <c r="AB250" t="str">
        <f t="shared" si="3"/>
        <v>Apr</v>
      </c>
    </row>
    <row r="251" spans="1:28" x14ac:dyDescent="0.35">
      <c r="A251" t="s">
        <v>299</v>
      </c>
      <c r="B251">
        <v>18</v>
      </c>
      <c r="C251" t="s">
        <v>15</v>
      </c>
      <c r="D251" t="s">
        <v>53</v>
      </c>
      <c r="E251" t="s">
        <v>51</v>
      </c>
      <c r="F251" t="s">
        <v>18</v>
      </c>
      <c r="G251" s="1">
        <v>45535</v>
      </c>
      <c r="H251" s="1">
        <v>45543</v>
      </c>
      <c r="I251" s="4">
        <v>152927</v>
      </c>
      <c r="J251" t="s">
        <v>19</v>
      </c>
      <c r="K251" t="s">
        <v>63</v>
      </c>
      <c r="L251" t="s">
        <v>33</v>
      </c>
      <c r="M251" t="s">
        <v>38</v>
      </c>
      <c r="N251">
        <v>2</v>
      </c>
      <c r="X251">
        <v>8</v>
      </c>
      <c r="AB251" t="str">
        <f t="shared" si="3"/>
        <v>Aug</v>
      </c>
    </row>
    <row r="252" spans="1:28" x14ac:dyDescent="0.35">
      <c r="A252" t="s">
        <v>300</v>
      </c>
      <c r="B252">
        <v>63</v>
      </c>
      <c r="C252" t="s">
        <v>24</v>
      </c>
      <c r="D252" t="s">
        <v>50</v>
      </c>
      <c r="E252" t="s">
        <v>51</v>
      </c>
      <c r="F252" t="s">
        <v>18</v>
      </c>
      <c r="G252" s="1">
        <v>45739</v>
      </c>
      <c r="H252" s="1">
        <v>45748</v>
      </c>
      <c r="I252" s="4">
        <v>66462</v>
      </c>
      <c r="J252" t="s">
        <v>37</v>
      </c>
      <c r="K252" t="s">
        <v>29</v>
      </c>
      <c r="L252" t="s">
        <v>21</v>
      </c>
      <c r="M252" t="s">
        <v>38</v>
      </c>
      <c r="N252">
        <v>4</v>
      </c>
      <c r="X252">
        <v>3</v>
      </c>
      <c r="AB252" t="str">
        <f t="shared" si="3"/>
        <v>Mar</v>
      </c>
    </row>
    <row r="253" spans="1:28" x14ac:dyDescent="0.35">
      <c r="A253" t="s">
        <v>301</v>
      </c>
      <c r="B253">
        <v>85</v>
      </c>
      <c r="C253" t="s">
        <v>24</v>
      </c>
      <c r="D253" t="s">
        <v>53</v>
      </c>
      <c r="E253" t="s">
        <v>17</v>
      </c>
      <c r="F253" t="s">
        <v>27</v>
      </c>
      <c r="G253" s="1">
        <v>45411</v>
      </c>
      <c r="H253" s="1">
        <v>45416</v>
      </c>
      <c r="I253" s="4">
        <v>175162</v>
      </c>
      <c r="J253" t="s">
        <v>61</v>
      </c>
      <c r="K253" t="s">
        <v>20</v>
      </c>
      <c r="L253" t="s">
        <v>43</v>
      </c>
      <c r="M253" t="s">
        <v>64</v>
      </c>
      <c r="N253">
        <v>3</v>
      </c>
      <c r="X253">
        <v>4</v>
      </c>
      <c r="AB253" t="str">
        <f t="shared" si="3"/>
        <v>Apr</v>
      </c>
    </row>
    <row r="254" spans="1:28" x14ac:dyDescent="0.35">
      <c r="A254" t="s">
        <v>302</v>
      </c>
      <c r="B254">
        <v>68</v>
      </c>
      <c r="C254" t="s">
        <v>24</v>
      </c>
      <c r="D254" t="s">
        <v>45</v>
      </c>
      <c r="E254" t="s">
        <v>32</v>
      </c>
      <c r="F254" t="s">
        <v>36</v>
      </c>
      <c r="G254" s="1">
        <v>45712</v>
      </c>
      <c r="H254" s="1">
        <v>45721</v>
      </c>
      <c r="I254" s="4">
        <v>77256</v>
      </c>
      <c r="J254" t="s">
        <v>28</v>
      </c>
      <c r="K254" t="s">
        <v>42</v>
      </c>
      <c r="L254" t="s">
        <v>48</v>
      </c>
      <c r="M254" t="s">
        <v>38</v>
      </c>
      <c r="N254">
        <v>3</v>
      </c>
      <c r="X254">
        <v>2</v>
      </c>
      <c r="AB254" t="str">
        <f t="shared" si="3"/>
        <v>Feb</v>
      </c>
    </row>
    <row r="255" spans="1:28" x14ac:dyDescent="0.35">
      <c r="A255" t="s">
        <v>303</v>
      </c>
      <c r="B255">
        <v>27</v>
      </c>
      <c r="C255" t="s">
        <v>15</v>
      </c>
      <c r="D255" t="s">
        <v>31</v>
      </c>
      <c r="E255" t="s">
        <v>32</v>
      </c>
      <c r="F255" t="s">
        <v>36</v>
      </c>
      <c r="G255" s="1">
        <v>45804</v>
      </c>
      <c r="H255" s="1">
        <v>45821</v>
      </c>
      <c r="I255" s="4">
        <v>137598</v>
      </c>
      <c r="J255" t="s">
        <v>37</v>
      </c>
      <c r="K255" t="s">
        <v>63</v>
      </c>
      <c r="L255" t="s">
        <v>43</v>
      </c>
      <c r="M255" t="s">
        <v>64</v>
      </c>
      <c r="N255">
        <v>4</v>
      </c>
      <c r="X255">
        <v>5</v>
      </c>
      <c r="AB255" t="str">
        <f t="shared" si="3"/>
        <v>May</v>
      </c>
    </row>
    <row r="256" spans="1:28" x14ac:dyDescent="0.35">
      <c r="A256" t="s">
        <v>304</v>
      </c>
      <c r="B256">
        <v>61</v>
      </c>
      <c r="C256" t="s">
        <v>24</v>
      </c>
      <c r="D256" t="s">
        <v>16</v>
      </c>
      <c r="E256" t="s">
        <v>35</v>
      </c>
      <c r="F256" t="s">
        <v>56</v>
      </c>
      <c r="G256" s="1">
        <v>45357</v>
      </c>
      <c r="H256" s="1">
        <v>45369</v>
      </c>
      <c r="I256" s="4">
        <v>193739</v>
      </c>
      <c r="J256" t="s">
        <v>37</v>
      </c>
      <c r="K256" t="s">
        <v>29</v>
      </c>
      <c r="L256" t="s">
        <v>48</v>
      </c>
      <c r="M256" t="s">
        <v>38</v>
      </c>
      <c r="N256">
        <v>5</v>
      </c>
      <c r="X256">
        <v>3</v>
      </c>
      <c r="AB256" t="str">
        <f t="shared" si="3"/>
        <v>Mar</v>
      </c>
    </row>
    <row r="257" spans="1:28" x14ac:dyDescent="0.35">
      <c r="A257" t="s">
        <v>305</v>
      </c>
      <c r="B257">
        <v>53</v>
      </c>
      <c r="C257" t="s">
        <v>24</v>
      </c>
      <c r="D257" t="s">
        <v>16</v>
      </c>
      <c r="E257" t="s">
        <v>51</v>
      </c>
      <c r="F257" t="s">
        <v>56</v>
      </c>
      <c r="G257" s="1">
        <v>45999</v>
      </c>
      <c r="H257" s="1">
        <v>46007</v>
      </c>
      <c r="I257" s="4">
        <v>219956</v>
      </c>
      <c r="J257" t="s">
        <v>61</v>
      </c>
      <c r="K257" t="s">
        <v>42</v>
      </c>
      <c r="L257" t="s">
        <v>43</v>
      </c>
      <c r="M257" t="s">
        <v>64</v>
      </c>
      <c r="N257">
        <v>1</v>
      </c>
      <c r="X257">
        <v>12</v>
      </c>
      <c r="AB257" t="str">
        <f t="shared" si="3"/>
        <v>Dec</v>
      </c>
    </row>
    <row r="258" spans="1:28" x14ac:dyDescent="0.35">
      <c r="A258" t="s">
        <v>306</v>
      </c>
      <c r="B258">
        <v>55</v>
      </c>
      <c r="C258" t="s">
        <v>24</v>
      </c>
      <c r="D258" t="s">
        <v>50</v>
      </c>
      <c r="E258" t="s">
        <v>17</v>
      </c>
      <c r="F258" t="s">
        <v>41</v>
      </c>
      <c r="G258" s="1">
        <v>45657</v>
      </c>
      <c r="H258" s="1">
        <v>45675</v>
      </c>
      <c r="I258" s="4">
        <v>10606</v>
      </c>
      <c r="J258" t="s">
        <v>37</v>
      </c>
      <c r="K258" t="s">
        <v>20</v>
      </c>
      <c r="L258" t="s">
        <v>46</v>
      </c>
      <c r="M258" t="s">
        <v>64</v>
      </c>
      <c r="N258">
        <v>2</v>
      </c>
      <c r="X258">
        <v>12</v>
      </c>
      <c r="AB258" t="str">
        <f t="shared" si="3"/>
        <v>Dec</v>
      </c>
    </row>
    <row r="259" spans="1:28" x14ac:dyDescent="0.35">
      <c r="A259" t="s">
        <v>307</v>
      </c>
      <c r="B259">
        <v>26</v>
      </c>
      <c r="C259" t="s">
        <v>15</v>
      </c>
      <c r="D259" t="s">
        <v>53</v>
      </c>
      <c r="E259" t="s">
        <v>17</v>
      </c>
      <c r="F259" t="s">
        <v>41</v>
      </c>
      <c r="G259" s="1">
        <v>45924</v>
      </c>
      <c r="H259" s="1">
        <v>45936</v>
      </c>
      <c r="I259" s="4">
        <v>167293</v>
      </c>
      <c r="J259" t="s">
        <v>61</v>
      </c>
      <c r="K259" t="s">
        <v>29</v>
      </c>
      <c r="L259" t="s">
        <v>33</v>
      </c>
      <c r="M259" t="s">
        <v>64</v>
      </c>
      <c r="N259">
        <v>3</v>
      </c>
      <c r="X259">
        <v>9</v>
      </c>
      <c r="AB259" t="str">
        <f t="shared" ref="AB259:AB322" si="4">TEXT(G259,"mmm")</f>
        <v>Sep</v>
      </c>
    </row>
    <row r="260" spans="1:28" x14ac:dyDescent="0.35">
      <c r="A260" t="s">
        <v>308</v>
      </c>
      <c r="B260">
        <v>26</v>
      </c>
      <c r="C260" t="s">
        <v>24</v>
      </c>
      <c r="D260" t="s">
        <v>58</v>
      </c>
      <c r="E260" t="s">
        <v>35</v>
      </c>
      <c r="F260" t="s">
        <v>18</v>
      </c>
      <c r="G260" s="1">
        <v>45780</v>
      </c>
      <c r="H260" s="1">
        <v>45788</v>
      </c>
      <c r="I260" s="4">
        <v>178178</v>
      </c>
      <c r="J260" t="s">
        <v>19</v>
      </c>
      <c r="K260" t="s">
        <v>42</v>
      </c>
      <c r="L260" t="s">
        <v>43</v>
      </c>
      <c r="M260" t="s">
        <v>38</v>
      </c>
      <c r="N260">
        <v>5</v>
      </c>
      <c r="X260">
        <v>5</v>
      </c>
      <c r="AB260" t="str">
        <f t="shared" si="4"/>
        <v>May</v>
      </c>
    </row>
    <row r="261" spans="1:28" x14ac:dyDescent="0.35">
      <c r="A261" t="s">
        <v>309</v>
      </c>
      <c r="B261">
        <v>39</v>
      </c>
      <c r="C261" t="s">
        <v>24</v>
      </c>
      <c r="D261" t="s">
        <v>25</v>
      </c>
      <c r="E261" t="s">
        <v>26</v>
      </c>
      <c r="F261" t="s">
        <v>41</v>
      </c>
      <c r="G261" s="1">
        <v>45836</v>
      </c>
      <c r="H261" s="1">
        <v>45850</v>
      </c>
      <c r="I261" s="4">
        <v>133380</v>
      </c>
      <c r="J261" t="s">
        <v>28</v>
      </c>
      <c r="K261" t="s">
        <v>63</v>
      </c>
      <c r="L261" t="s">
        <v>48</v>
      </c>
      <c r="M261" t="s">
        <v>64</v>
      </c>
      <c r="N261">
        <v>4</v>
      </c>
      <c r="X261">
        <v>6</v>
      </c>
      <c r="AB261" t="str">
        <f t="shared" si="4"/>
        <v>Jun</v>
      </c>
    </row>
    <row r="262" spans="1:28" x14ac:dyDescent="0.35">
      <c r="A262" t="s">
        <v>310</v>
      </c>
      <c r="B262">
        <v>30</v>
      </c>
      <c r="C262" t="s">
        <v>15</v>
      </c>
      <c r="D262" t="s">
        <v>58</v>
      </c>
      <c r="E262" t="s">
        <v>17</v>
      </c>
      <c r="F262" t="s">
        <v>56</v>
      </c>
      <c r="G262" s="1">
        <v>45803</v>
      </c>
      <c r="H262" s="1">
        <v>45806</v>
      </c>
      <c r="I262" s="4">
        <v>104238</v>
      </c>
      <c r="J262" t="s">
        <v>37</v>
      </c>
      <c r="K262" t="s">
        <v>20</v>
      </c>
      <c r="L262" t="s">
        <v>48</v>
      </c>
      <c r="M262" t="s">
        <v>22</v>
      </c>
      <c r="N262">
        <v>2</v>
      </c>
      <c r="X262">
        <v>5</v>
      </c>
      <c r="AB262" t="str">
        <f t="shared" si="4"/>
        <v>May</v>
      </c>
    </row>
    <row r="263" spans="1:28" x14ac:dyDescent="0.35">
      <c r="A263" t="s">
        <v>311</v>
      </c>
      <c r="B263">
        <v>72</v>
      </c>
      <c r="C263" t="s">
        <v>24</v>
      </c>
      <c r="D263" t="s">
        <v>53</v>
      </c>
      <c r="E263" t="s">
        <v>17</v>
      </c>
      <c r="F263" t="s">
        <v>18</v>
      </c>
      <c r="G263" s="1">
        <v>45549</v>
      </c>
      <c r="H263" s="1">
        <v>45566</v>
      </c>
      <c r="I263" s="4">
        <v>210545</v>
      </c>
      <c r="J263" t="s">
        <v>37</v>
      </c>
      <c r="K263" t="s">
        <v>20</v>
      </c>
      <c r="L263" t="s">
        <v>33</v>
      </c>
      <c r="M263" t="s">
        <v>22</v>
      </c>
      <c r="N263">
        <v>3</v>
      </c>
      <c r="X263">
        <v>9</v>
      </c>
      <c r="AB263" t="str">
        <f t="shared" si="4"/>
        <v>Sep</v>
      </c>
    </row>
    <row r="264" spans="1:28" x14ac:dyDescent="0.35">
      <c r="A264" t="s">
        <v>312</v>
      </c>
      <c r="B264">
        <v>25</v>
      </c>
      <c r="C264" t="s">
        <v>24</v>
      </c>
      <c r="D264" t="s">
        <v>45</v>
      </c>
      <c r="E264" t="s">
        <v>35</v>
      </c>
      <c r="F264" t="s">
        <v>36</v>
      </c>
      <c r="G264" s="1">
        <v>45694</v>
      </c>
      <c r="H264" s="1">
        <v>45713</v>
      </c>
      <c r="I264" s="4">
        <v>129423</v>
      </c>
      <c r="J264" t="s">
        <v>28</v>
      </c>
      <c r="K264" t="s">
        <v>42</v>
      </c>
      <c r="L264" t="s">
        <v>33</v>
      </c>
      <c r="M264" t="s">
        <v>64</v>
      </c>
      <c r="N264">
        <v>2</v>
      </c>
      <c r="X264">
        <v>2</v>
      </c>
      <c r="AB264" t="str">
        <f t="shared" si="4"/>
        <v>Feb</v>
      </c>
    </row>
    <row r="265" spans="1:28" x14ac:dyDescent="0.35">
      <c r="A265" t="s">
        <v>313</v>
      </c>
      <c r="B265">
        <v>41</v>
      </c>
      <c r="C265" t="s">
        <v>15</v>
      </c>
      <c r="D265" t="s">
        <v>25</v>
      </c>
      <c r="E265" t="s">
        <v>51</v>
      </c>
      <c r="F265" t="s">
        <v>41</v>
      </c>
      <c r="G265" s="1">
        <v>45418</v>
      </c>
      <c r="H265" s="1">
        <v>45429</v>
      </c>
      <c r="I265" s="4">
        <v>157261</v>
      </c>
      <c r="J265" t="s">
        <v>61</v>
      </c>
      <c r="K265" t="s">
        <v>20</v>
      </c>
      <c r="L265" t="s">
        <v>33</v>
      </c>
      <c r="M265" t="s">
        <v>38</v>
      </c>
      <c r="N265">
        <v>1</v>
      </c>
      <c r="X265">
        <v>5</v>
      </c>
      <c r="AB265" t="str">
        <f t="shared" si="4"/>
        <v>May</v>
      </c>
    </row>
    <row r="266" spans="1:28" x14ac:dyDescent="0.35">
      <c r="A266" t="s">
        <v>314</v>
      </c>
      <c r="B266">
        <v>85</v>
      </c>
      <c r="C266" t="s">
        <v>24</v>
      </c>
      <c r="D266" t="s">
        <v>53</v>
      </c>
      <c r="E266" t="s">
        <v>35</v>
      </c>
      <c r="F266" t="s">
        <v>56</v>
      </c>
      <c r="G266" s="1">
        <v>45467</v>
      </c>
      <c r="H266" s="1">
        <v>45471</v>
      </c>
      <c r="I266" s="4">
        <v>189635</v>
      </c>
      <c r="J266" t="s">
        <v>19</v>
      </c>
      <c r="K266" t="s">
        <v>29</v>
      </c>
      <c r="L266" t="s">
        <v>33</v>
      </c>
      <c r="M266" t="s">
        <v>38</v>
      </c>
      <c r="N266">
        <v>5</v>
      </c>
      <c r="X266">
        <v>6</v>
      </c>
      <c r="AB266" t="str">
        <f t="shared" si="4"/>
        <v>Jun</v>
      </c>
    </row>
    <row r="267" spans="1:28" x14ac:dyDescent="0.35">
      <c r="A267" t="s">
        <v>315</v>
      </c>
      <c r="B267">
        <v>77</v>
      </c>
      <c r="C267" t="s">
        <v>24</v>
      </c>
      <c r="D267" t="s">
        <v>50</v>
      </c>
      <c r="E267" t="s">
        <v>51</v>
      </c>
      <c r="F267" t="s">
        <v>27</v>
      </c>
      <c r="G267" s="1">
        <v>45457</v>
      </c>
      <c r="H267" s="1">
        <v>45473</v>
      </c>
      <c r="I267" s="4">
        <v>188642</v>
      </c>
      <c r="J267" t="s">
        <v>61</v>
      </c>
      <c r="K267" t="s">
        <v>20</v>
      </c>
      <c r="L267" t="s">
        <v>33</v>
      </c>
      <c r="M267" t="s">
        <v>64</v>
      </c>
      <c r="N267">
        <v>4</v>
      </c>
      <c r="X267">
        <v>6</v>
      </c>
      <c r="AB267" t="str">
        <f t="shared" si="4"/>
        <v>Jun</v>
      </c>
    </row>
    <row r="268" spans="1:28" x14ac:dyDescent="0.35">
      <c r="A268" t="s">
        <v>316</v>
      </c>
      <c r="B268">
        <v>19</v>
      </c>
      <c r="C268" t="s">
        <v>24</v>
      </c>
      <c r="D268" t="s">
        <v>25</v>
      </c>
      <c r="E268" t="s">
        <v>17</v>
      </c>
      <c r="F268" t="s">
        <v>27</v>
      </c>
      <c r="G268" s="1">
        <v>45474</v>
      </c>
      <c r="H268" s="1">
        <v>45492</v>
      </c>
      <c r="I268" s="4">
        <v>171040</v>
      </c>
      <c r="J268" t="s">
        <v>19</v>
      </c>
      <c r="K268" t="s">
        <v>20</v>
      </c>
      <c r="L268" t="s">
        <v>33</v>
      </c>
      <c r="M268" t="s">
        <v>22</v>
      </c>
      <c r="N268">
        <v>2</v>
      </c>
      <c r="X268">
        <v>7</v>
      </c>
      <c r="AB268" t="str">
        <f t="shared" si="4"/>
        <v>Jul</v>
      </c>
    </row>
    <row r="269" spans="1:28" x14ac:dyDescent="0.35">
      <c r="A269" t="s">
        <v>317</v>
      </c>
      <c r="B269">
        <v>23</v>
      </c>
      <c r="C269" t="s">
        <v>15</v>
      </c>
      <c r="D269" t="s">
        <v>45</v>
      </c>
      <c r="E269" t="s">
        <v>32</v>
      </c>
      <c r="F269" t="s">
        <v>41</v>
      </c>
      <c r="G269" s="1">
        <v>45426</v>
      </c>
      <c r="H269" s="1">
        <v>45443</v>
      </c>
      <c r="I269" s="4">
        <v>34746</v>
      </c>
      <c r="J269" t="s">
        <v>61</v>
      </c>
      <c r="K269" t="s">
        <v>20</v>
      </c>
      <c r="L269" t="s">
        <v>43</v>
      </c>
      <c r="M269" t="s">
        <v>64</v>
      </c>
      <c r="N269">
        <v>5</v>
      </c>
      <c r="X269">
        <v>5</v>
      </c>
      <c r="AB269" t="str">
        <f t="shared" si="4"/>
        <v>May</v>
      </c>
    </row>
    <row r="270" spans="1:28" x14ac:dyDescent="0.35">
      <c r="A270" t="s">
        <v>318</v>
      </c>
      <c r="B270">
        <v>27</v>
      </c>
      <c r="C270" t="s">
        <v>24</v>
      </c>
      <c r="D270" t="s">
        <v>45</v>
      </c>
      <c r="E270" t="s">
        <v>17</v>
      </c>
      <c r="F270" t="s">
        <v>36</v>
      </c>
      <c r="G270" s="1">
        <v>45859</v>
      </c>
      <c r="H270" s="1">
        <v>45876</v>
      </c>
      <c r="I270" s="4">
        <v>236167</v>
      </c>
      <c r="J270" t="s">
        <v>28</v>
      </c>
      <c r="K270" t="s">
        <v>42</v>
      </c>
      <c r="L270" t="s">
        <v>33</v>
      </c>
      <c r="M270" t="s">
        <v>22</v>
      </c>
      <c r="N270">
        <v>3</v>
      </c>
      <c r="X270">
        <v>7</v>
      </c>
      <c r="AB270" t="str">
        <f t="shared" si="4"/>
        <v>Jul</v>
      </c>
    </row>
    <row r="271" spans="1:28" x14ac:dyDescent="0.35">
      <c r="A271" t="s">
        <v>319</v>
      </c>
      <c r="B271">
        <v>84</v>
      </c>
      <c r="C271" t="s">
        <v>15</v>
      </c>
      <c r="D271" t="s">
        <v>50</v>
      </c>
      <c r="E271" t="s">
        <v>32</v>
      </c>
      <c r="F271" t="s">
        <v>18</v>
      </c>
      <c r="G271" s="1">
        <v>45984</v>
      </c>
      <c r="H271" s="1">
        <v>45994</v>
      </c>
      <c r="I271" s="4">
        <v>176933</v>
      </c>
      <c r="J271" t="s">
        <v>19</v>
      </c>
      <c r="K271" t="s">
        <v>20</v>
      </c>
      <c r="L271" t="s">
        <v>43</v>
      </c>
      <c r="M271" t="s">
        <v>38</v>
      </c>
      <c r="N271">
        <v>4</v>
      </c>
      <c r="X271">
        <v>11</v>
      </c>
      <c r="AB271" t="str">
        <f t="shared" si="4"/>
        <v>Nov</v>
      </c>
    </row>
    <row r="272" spans="1:28" x14ac:dyDescent="0.35">
      <c r="A272" t="s">
        <v>320</v>
      </c>
      <c r="B272">
        <v>38</v>
      </c>
      <c r="C272" t="s">
        <v>24</v>
      </c>
      <c r="D272" t="s">
        <v>53</v>
      </c>
      <c r="E272" t="s">
        <v>51</v>
      </c>
      <c r="F272" t="s">
        <v>56</v>
      </c>
      <c r="G272" s="1">
        <v>45603</v>
      </c>
      <c r="H272" s="1">
        <v>45619</v>
      </c>
      <c r="I272" s="4">
        <v>212160</v>
      </c>
      <c r="J272" t="s">
        <v>37</v>
      </c>
      <c r="K272" t="s">
        <v>29</v>
      </c>
      <c r="L272" t="s">
        <v>48</v>
      </c>
      <c r="M272" t="s">
        <v>22</v>
      </c>
      <c r="N272">
        <v>2</v>
      </c>
      <c r="X272">
        <v>11</v>
      </c>
      <c r="AB272" t="str">
        <f t="shared" si="4"/>
        <v>Nov</v>
      </c>
    </row>
    <row r="273" spans="1:28" x14ac:dyDescent="0.35">
      <c r="A273" t="s">
        <v>321</v>
      </c>
      <c r="B273">
        <v>44</v>
      </c>
      <c r="C273" t="s">
        <v>24</v>
      </c>
      <c r="D273" t="s">
        <v>25</v>
      </c>
      <c r="E273" t="s">
        <v>17</v>
      </c>
      <c r="F273" t="s">
        <v>36</v>
      </c>
      <c r="G273" s="1">
        <v>45375</v>
      </c>
      <c r="H273" s="1">
        <v>45388</v>
      </c>
      <c r="I273" s="4">
        <v>210646</v>
      </c>
      <c r="J273" t="s">
        <v>28</v>
      </c>
      <c r="K273" t="s">
        <v>29</v>
      </c>
      <c r="L273" t="s">
        <v>21</v>
      </c>
      <c r="M273" t="s">
        <v>38</v>
      </c>
      <c r="N273">
        <v>2</v>
      </c>
      <c r="X273">
        <v>3</v>
      </c>
      <c r="AB273" t="str">
        <f t="shared" si="4"/>
        <v>Mar</v>
      </c>
    </row>
    <row r="274" spans="1:28" x14ac:dyDescent="0.35">
      <c r="A274" t="s">
        <v>322</v>
      </c>
      <c r="B274">
        <v>57</v>
      </c>
      <c r="C274" t="s">
        <v>24</v>
      </c>
      <c r="D274" t="s">
        <v>50</v>
      </c>
      <c r="E274" t="s">
        <v>35</v>
      </c>
      <c r="F274" t="s">
        <v>36</v>
      </c>
      <c r="G274" s="1">
        <v>45858</v>
      </c>
      <c r="H274" s="1">
        <v>45869</v>
      </c>
      <c r="I274" s="4">
        <v>109600</v>
      </c>
      <c r="J274" t="s">
        <v>61</v>
      </c>
      <c r="K274" t="s">
        <v>20</v>
      </c>
      <c r="L274" t="s">
        <v>48</v>
      </c>
      <c r="M274" t="s">
        <v>64</v>
      </c>
      <c r="N274">
        <v>4</v>
      </c>
      <c r="X274">
        <v>7</v>
      </c>
      <c r="AB274" t="str">
        <f t="shared" si="4"/>
        <v>Jul</v>
      </c>
    </row>
    <row r="275" spans="1:28" x14ac:dyDescent="0.35">
      <c r="A275" t="s">
        <v>323</v>
      </c>
      <c r="B275">
        <v>54</v>
      </c>
      <c r="C275" t="s">
        <v>15</v>
      </c>
      <c r="D275" t="s">
        <v>53</v>
      </c>
      <c r="E275" t="s">
        <v>26</v>
      </c>
      <c r="F275" t="s">
        <v>36</v>
      </c>
      <c r="G275" s="1">
        <v>45661</v>
      </c>
      <c r="H275" s="1">
        <v>45666</v>
      </c>
      <c r="I275" s="4">
        <v>157521</v>
      </c>
      <c r="J275" t="s">
        <v>61</v>
      </c>
      <c r="K275" t="s">
        <v>42</v>
      </c>
      <c r="L275" t="s">
        <v>21</v>
      </c>
      <c r="M275" t="s">
        <v>64</v>
      </c>
      <c r="N275">
        <v>1</v>
      </c>
      <c r="X275">
        <v>1</v>
      </c>
      <c r="AB275" t="str">
        <f t="shared" si="4"/>
        <v>Jan</v>
      </c>
    </row>
    <row r="276" spans="1:28" x14ac:dyDescent="0.35">
      <c r="A276" t="s">
        <v>324</v>
      </c>
      <c r="B276">
        <v>20</v>
      </c>
      <c r="C276" t="s">
        <v>15</v>
      </c>
      <c r="D276" t="s">
        <v>53</v>
      </c>
      <c r="E276" t="s">
        <v>40</v>
      </c>
      <c r="F276" t="s">
        <v>27</v>
      </c>
      <c r="G276" s="1">
        <v>45918</v>
      </c>
      <c r="H276" s="1">
        <v>45936</v>
      </c>
      <c r="I276" s="4">
        <v>106302</v>
      </c>
      <c r="J276" t="s">
        <v>28</v>
      </c>
      <c r="K276" t="s">
        <v>42</v>
      </c>
      <c r="L276" t="s">
        <v>43</v>
      </c>
      <c r="M276" t="s">
        <v>64</v>
      </c>
      <c r="N276">
        <v>2</v>
      </c>
      <c r="X276">
        <v>9</v>
      </c>
      <c r="AB276" t="str">
        <f t="shared" si="4"/>
        <v>Sep</v>
      </c>
    </row>
    <row r="277" spans="1:28" x14ac:dyDescent="0.35">
      <c r="A277" t="s">
        <v>325</v>
      </c>
      <c r="B277">
        <v>55</v>
      </c>
      <c r="C277" t="s">
        <v>15</v>
      </c>
      <c r="D277" t="s">
        <v>50</v>
      </c>
      <c r="E277" t="s">
        <v>26</v>
      </c>
      <c r="F277" t="s">
        <v>18</v>
      </c>
      <c r="G277" s="1">
        <v>45961</v>
      </c>
      <c r="H277" s="1">
        <v>45964</v>
      </c>
      <c r="I277" s="4">
        <v>54873</v>
      </c>
      <c r="J277" t="s">
        <v>28</v>
      </c>
      <c r="K277" t="s">
        <v>42</v>
      </c>
      <c r="L277" t="s">
        <v>46</v>
      </c>
      <c r="M277" t="s">
        <v>38</v>
      </c>
      <c r="N277">
        <v>5</v>
      </c>
      <c r="X277">
        <v>10</v>
      </c>
      <c r="AB277" t="str">
        <f t="shared" si="4"/>
        <v>Oct</v>
      </c>
    </row>
    <row r="278" spans="1:28" x14ac:dyDescent="0.35">
      <c r="A278" t="s">
        <v>326</v>
      </c>
      <c r="B278">
        <v>73</v>
      </c>
      <c r="C278" t="s">
        <v>24</v>
      </c>
      <c r="D278" t="s">
        <v>25</v>
      </c>
      <c r="E278" t="s">
        <v>17</v>
      </c>
      <c r="F278" t="s">
        <v>27</v>
      </c>
      <c r="G278" s="1">
        <v>45847</v>
      </c>
      <c r="H278" s="1">
        <v>45864</v>
      </c>
      <c r="I278" s="4">
        <v>39462</v>
      </c>
      <c r="J278" t="s">
        <v>28</v>
      </c>
      <c r="K278" t="s">
        <v>63</v>
      </c>
      <c r="L278" t="s">
        <v>33</v>
      </c>
      <c r="M278" t="s">
        <v>22</v>
      </c>
      <c r="N278">
        <v>4</v>
      </c>
      <c r="X278">
        <v>7</v>
      </c>
      <c r="AB278" t="str">
        <f t="shared" si="4"/>
        <v>Jul</v>
      </c>
    </row>
    <row r="279" spans="1:28" x14ac:dyDescent="0.35">
      <c r="A279" t="s">
        <v>327</v>
      </c>
      <c r="B279">
        <v>30</v>
      </c>
      <c r="C279" t="s">
        <v>24</v>
      </c>
      <c r="D279" t="s">
        <v>58</v>
      </c>
      <c r="E279" t="s">
        <v>35</v>
      </c>
      <c r="F279" t="s">
        <v>18</v>
      </c>
      <c r="G279" s="1">
        <v>46015</v>
      </c>
      <c r="H279" s="1">
        <v>46020</v>
      </c>
      <c r="I279" s="4">
        <v>215999</v>
      </c>
      <c r="J279" t="s">
        <v>61</v>
      </c>
      <c r="K279" t="s">
        <v>20</v>
      </c>
      <c r="L279" t="s">
        <v>43</v>
      </c>
      <c r="M279" t="s">
        <v>38</v>
      </c>
      <c r="N279">
        <v>1</v>
      </c>
      <c r="X279">
        <v>12</v>
      </c>
      <c r="AB279" t="str">
        <f t="shared" si="4"/>
        <v>Dec</v>
      </c>
    </row>
    <row r="280" spans="1:28" x14ac:dyDescent="0.35">
      <c r="A280" t="s">
        <v>328</v>
      </c>
      <c r="B280">
        <v>79</v>
      </c>
      <c r="C280" t="s">
        <v>15</v>
      </c>
      <c r="D280" t="s">
        <v>25</v>
      </c>
      <c r="E280" t="s">
        <v>26</v>
      </c>
      <c r="F280" t="s">
        <v>18</v>
      </c>
      <c r="G280" s="1">
        <v>45357</v>
      </c>
      <c r="H280" s="1">
        <v>45358</v>
      </c>
      <c r="I280" s="4">
        <v>19381</v>
      </c>
      <c r="J280" t="s">
        <v>37</v>
      </c>
      <c r="K280" t="s">
        <v>42</v>
      </c>
      <c r="L280" t="s">
        <v>21</v>
      </c>
      <c r="M280" t="s">
        <v>64</v>
      </c>
      <c r="N280">
        <v>2</v>
      </c>
      <c r="X280">
        <v>3</v>
      </c>
      <c r="AB280" t="str">
        <f t="shared" si="4"/>
        <v>Mar</v>
      </c>
    </row>
    <row r="281" spans="1:28" x14ac:dyDescent="0.35">
      <c r="A281" t="s">
        <v>329</v>
      </c>
      <c r="B281">
        <v>69</v>
      </c>
      <c r="C281" t="s">
        <v>15</v>
      </c>
      <c r="D281" t="s">
        <v>16</v>
      </c>
      <c r="E281" t="s">
        <v>35</v>
      </c>
      <c r="F281" t="s">
        <v>36</v>
      </c>
      <c r="G281" s="1">
        <v>45693</v>
      </c>
      <c r="H281" s="1">
        <v>45713</v>
      </c>
      <c r="I281" s="4">
        <v>223124</v>
      </c>
      <c r="J281" t="s">
        <v>61</v>
      </c>
      <c r="K281" t="s">
        <v>29</v>
      </c>
      <c r="L281" t="s">
        <v>21</v>
      </c>
      <c r="M281" t="s">
        <v>38</v>
      </c>
      <c r="N281">
        <v>1</v>
      </c>
      <c r="X281">
        <v>2</v>
      </c>
      <c r="AB281" t="str">
        <f t="shared" si="4"/>
        <v>Feb</v>
      </c>
    </row>
    <row r="282" spans="1:28" x14ac:dyDescent="0.35">
      <c r="A282" t="s">
        <v>330</v>
      </c>
      <c r="B282">
        <v>56</v>
      </c>
      <c r="C282" t="s">
        <v>15</v>
      </c>
      <c r="D282" t="s">
        <v>53</v>
      </c>
      <c r="E282" t="s">
        <v>26</v>
      </c>
      <c r="F282" t="s">
        <v>18</v>
      </c>
      <c r="G282" s="1">
        <v>45295</v>
      </c>
      <c r="H282" s="1">
        <v>45305</v>
      </c>
      <c r="I282" s="4">
        <v>207247</v>
      </c>
      <c r="J282" t="s">
        <v>19</v>
      </c>
      <c r="K282" t="s">
        <v>29</v>
      </c>
      <c r="L282" t="s">
        <v>33</v>
      </c>
      <c r="M282" t="s">
        <v>22</v>
      </c>
      <c r="N282">
        <v>2</v>
      </c>
      <c r="X282">
        <v>1</v>
      </c>
      <c r="AB282" t="str">
        <f t="shared" si="4"/>
        <v>Jan</v>
      </c>
    </row>
    <row r="283" spans="1:28" x14ac:dyDescent="0.35">
      <c r="A283" t="s">
        <v>331</v>
      </c>
      <c r="B283">
        <v>47</v>
      </c>
      <c r="C283" t="s">
        <v>24</v>
      </c>
      <c r="D283" t="s">
        <v>58</v>
      </c>
      <c r="E283" t="s">
        <v>35</v>
      </c>
      <c r="F283" t="s">
        <v>18</v>
      </c>
      <c r="G283" s="1">
        <v>45866</v>
      </c>
      <c r="H283" s="1">
        <v>45880</v>
      </c>
      <c r="I283" s="4">
        <v>227844</v>
      </c>
      <c r="J283" t="s">
        <v>19</v>
      </c>
      <c r="K283" t="s">
        <v>42</v>
      </c>
      <c r="L283" t="s">
        <v>43</v>
      </c>
      <c r="M283" t="s">
        <v>64</v>
      </c>
      <c r="N283">
        <v>2</v>
      </c>
      <c r="X283">
        <v>7</v>
      </c>
      <c r="AB283" t="str">
        <f t="shared" si="4"/>
        <v>Jul</v>
      </c>
    </row>
    <row r="284" spans="1:28" x14ac:dyDescent="0.35">
      <c r="A284" t="s">
        <v>332</v>
      </c>
      <c r="B284">
        <v>36</v>
      </c>
      <c r="C284" t="s">
        <v>24</v>
      </c>
      <c r="D284" t="s">
        <v>53</v>
      </c>
      <c r="E284" t="s">
        <v>32</v>
      </c>
      <c r="F284" t="s">
        <v>18</v>
      </c>
      <c r="G284" s="1">
        <v>45815</v>
      </c>
      <c r="H284" s="1">
        <v>45822</v>
      </c>
      <c r="I284" s="4">
        <v>105437</v>
      </c>
      <c r="J284" t="s">
        <v>19</v>
      </c>
      <c r="K284" t="s">
        <v>20</v>
      </c>
      <c r="L284" t="s">
        <v>33</v>
      </c>
      <c r="M284" t="s">
        <v>64</v>
      </c>
      <c r="N284">
        <v>5</v>
      </c>
      <c r="X284">
        <v>6</v>
      </c>
      <c r="AB284" t="str">
        <f t="shared" si="4"/>
        <v>Jun</v>
      </c>
    </row>
    <row r="285" spans="1:28" x14ac:dyDescent="0.35">
      <c r="A285" t="s">
        <v>333</v>
      </c>
      <c r="B285">
        <v>21</v>
      </c>
      <c r="C285" t="s">
        <v>15</v>
      </c>
      <c r="D285" t="s">
        <v>53</v>
      </c>
      <c r="E285" t="s">
        <v>35</v>
      </c>
      <c r="F285" t="s">
        <v>41</v>
      </c>
      <c r="G285" s="1">
        <v>45361</v>
      </c>
      <c r="H285" s="1">
        <v>45367</v>
      </c>
      <c r="I285" s="4">
        <v>148776</v>
      </c>
      <c r="J285" t="s">
        <v>37</v>
      </c>
      <c r="K285" t="s">
        <v>63</v>
      </c>
      <c r="L285" t="s">
        <v>21</v>
      </c>
      <c r="M285" t="s">
        <v>64</v>
      </c>
      <c r="N285">
        <v>1</v>
      </c>
      <c r="X285">
        <v>3</v>
      </c>
      <c r="AB285" t="str">
        <f t="shared" si="4"/>
        <v>Mar</v>
      </c>
    </row>
    <row r="286" spans="1:28" x14ac:dyDescent="0.35">
      <c r="A286" t="s">
        <v>334</v>
      </c>
      <c r="B286">
        <v>37</v>
      </c>
      <c r="C286" t="s">
        <v>15</v>
      </c>
      <c r="D286" t="s">
        <v>25</v>
      </c>
      <c r="E286" t="s">
        <v>40</v>
      </c>
      <c r="F286" t="s">
        <v>41</v>
      </c>
      <c r="G286" s="1">
        <v>45715</v>
      </c>
      <c r="H286" s="1">
        <v>45731</v>
      </c>
      <c r="I286" s="4">
        <v>156107</v>
      </c>
      <c r="J286" t="s">
        <v>61</v>
      </c>
      <c r="K286" t="s">
        <v>63</v>
      </c>
      <c r="L286" t="s">
        <v>33</v>
      </c>
      <c r="M286" t="s">
        <v>22</v>
      </c>
      <c r="N286">
        <v>2</v>
      </c>
      <c r="X286">
        <v>2</v>
      </c>
      <c r="AB286" t="str">
        <f t="shared" si="4"/>
        <v>Feb</v>
      </c>
    </row>
    <row r="287" spans="1:28" x14ac:dyDescent="0.35">
      <c r="A287" t="s">
        <v>335</v>
      </c>
      <c r="B287">
        <v>49</v>
      </c>
      <c r="C287" t="s">
        <v>24</v>
      </c>
      <c r="D287" t="s">
        <v>25</v>
      </c>
      <c r="E287" t="s">
        <v>26</v>
      </c>
      <c r="F287" t="s">
        <v>18</v>
      </c>
      <c r="G287" s="1">
        <v>45659</v>
      </c>
      <c r="H287" s="1">
        <v>45672</v>
      </c>
      <c r="I287" s="4">
        <v>26508</v>
      </c>
      <c r="J287" t="s">
        <v>19</v>
      </c>
      <c r="K287" t="s">
        <v>29</v>
      </c>
      <c r="L287" t="s">
        <v>21</v>
      </c>
      <c r="M287" t="s">
        <v>22</v>
      </c>
      <c r="N287">
        <v>1</v>
      </c>
      <c r="X287">
        <v>1</v>
      </c>
      <c r="AB287" t="str">
        <f t="shared" si="4"/>
        <v>Jan</v>
      </c>
    </row>
    <row r="288" spans="1:28" x14ac:dyDescent="0.35">
      <c r="A288" t="s">
        <v>336</v>
      </c>
      <c r="B288">
        <v>67</v>
      </c>
      <c r="C288" t="s">
        <v>24</v>
      </c>
      <c r="D288" t="s">
        <v>58</v>
      </c>
      <c r="E288" t="s">
        <v>51</v>
      </c>
      <c r="F288" t="s">
        <v>18</v>
      </c>
      <c r="G288" s="1">
        <v>45980</v>
      </c>
      <c r="H288" s="1">
        <v>45981</v>
      </c>
      <c r="I288" s="4">
        <v>55321</v>
      </c>
      <c r="J288" t="s">
        <v>28</v>
      </c>
      <c r="K288" t="s">
        <v>63</v>
      </c>
      <c r="L288" t="s">
        <v>48</v>
      </c>
      <c r="M288" t="s">
        <v>38</v>
      </c>
      <c r="N288">
        <v>5</v>
      </c>
      <c r="X288">
        <v>11</v>
      </c>
      <c r="AB288" t="str">
        <f t="shared" si="4"/>
        <v>Nov</v>
      </c>
    </row>
    <row r="289" spans="1:28" x14ac:dyDescent="0.35">
      <c r="A289" t="s">
        <v>337</v>
      </c>
      <c r="B289">
        <v>36</v>
      </c>
      <c r="C289" t="s">
        <v>15</v>
      </c>
      <c r="D289" t="s">
        <v>53</v>
      </c>
      <c r="E289" t="s">
        <v>26</v>
      </c>
      <c r="F289" t="s">
        <v>56</v>
      </c>
      <c r="G289" s="1">
        <v>45511</v>
      </c>
      <c r="H289" s="1">
        <v>45518</v>
      </c>
      <c r="I289" s="4">
        <v>148543</v>
      </c>
      <c r="J289" t="s">
        <v>28</v>
      </c>
      <c r="K289" t="s">
        <v>20</v>
      </c>
      <c r="L289" t="s">
        <v>48</v>
      </c>
      <c r="M289" t="s">
        <v>64</v>
      </c>
      <c r="N289">
        <v>3</v>
      </c>
      <c r="X289">
        <v>8</v>
      </c>
      <c r="AB289" t="str">
        <f t="shared" si="4"/>
        <v>Aug</v>
      </c>
    </row>
    <row r="290" spans="1:28" x14ac:dyDescent="0.35">
      <c r="A290" t="s">
        <v>338</v>
      </c>
      <c r="B290">
        <v>54</v>
      </c>
      <c r="C290" t="s">
        <v>24</v>
      </c>
      <c r="D290" t="s">
        <v>45</v>
      </c>
      <c r="E290" t="s">
        <v>17</v>
      </c>
      <c r="F290" t="s">
        <v>18</v>
      </c>
      <c r="G290" s="1">
        <v>45303</v>
      </c>
      <c r="H290" s="1">
        <v>45319</v>
      </c>
      <c r="I290" s="4">
        <v>223362</v>
      </c>
      <c r="J290" t="s">
        <v>28</v>
      </c>
      <c r="K290" t="s">
        <v>20</v>
      </c>
      <c r="L290" t="s">
        <v>43</v>
      </c>
      <c r="M290" t="s">
        <v>38</v>
      </c>
      <c r="N290">
        <v>4</v>
      </c>
      <c r="X290">
        <v>1</v>
      </c>
      <c r="AB290" t="str">
        <f t="shared" si="4"/>
        <v>Jan</v>
      </c>
    </row>
    <row r="291" spans="1:28" x14ac:dyDescent="0.35">
      <c r="A291" t="s">
        <v>339</v>
      </c>
      <c r="B291">
        <v>48</v>
      </c>
      <c r="C291" t="s">
        <v>15</v>
      </c>
      <c r="D291" t="s">
        <v>25</v>
      </c>
      <c r="E291" t="s">
        <v>32</v>
      </c>
      <c r="F291" t="s">
        <v>36</v>
      </c>
      <c r="G291" s="1">
        <v>45594</v>
      </c>
      <c r="H291" s="1">
        <v>45613</v>
      </c>
      <c r="I291" s="4">
        <v>109786</v>
      </c>
      <c r="J291" t="s">
        <v>61</v>
      </c>
      <c r="K291" t="s">
        <v>29</v>
      </c>
      <c r="L291" t="s">
        <v>48</v>
      </c>
      <c r="M291" t="s">
        <v>22</v>
      </c>
      <c r="N291">
        <v>2</v>
      </c>
      <c r="X291">
        <v>10</v>
      </c>
      <c r="AB291" t="str">
        <f t="shared" si="4"/>
        <v>Oct</v>
      </c>
    </row>
    <row r="292" spans="1:28" x14ac:dyDescent="0.35">
      <c r="A292" t="s">
        <v>340</v>
      </c>
      <c r="B292">
        <v>85</v>
      </c>
      <c r="C292" t="s">
        <v>15</v>
      </c>
      <c r="D292" t="s">
        <v>25</v>
      </c>
      <c r="E292" t="s">
        <v>51</v>
      </c>
      <c r="F292" t="s">
        <v>56</v>
      </c>
      <c r="G292" s="1">
        <v>45892</v>
      </c>
      <c r="H292" s="1">
        <v>45908</v>
      </c>
      <c r="I292" s="4">
        <v>40711</v>
      </c>
      <c r="J292" t="s">
        <v>61</v>
      </c>
      <c r="K292" t="s">
        <v>29</v>
      </c>
      <c r="L292" t="s">
        <v>43</v>
      </c>
      <c r="M292" t="s">
        <v>38</v>
      </c>
      <c r="N292">
        <v>5</v>
      </c>
      <c r="X292">
        <v>8</v>
      </c>
      <c r="AB292" t="str">
        <f t="shared" si="4"/>
        <v>Aug</v>
      </c>
    </row>
    <row r="293" spans="1:28" x14ac:dyDescent="0.35">
      <c r="A293" t="s">
        <v>341</v>
      </c>
      <c r="B293">
        <v>34</v>
      </c>
      <c r="C293" t="s">
        <v>24</v>
      </c>
      <c r="D293" t="s">
        <v>53</v>
      </c>
      <c r="E293" t="s">
        <v>26</v>
      </c>
      <c r="F293" t="s">
        <v>36</v>
      </c>
      <c r="G293" s="1">
        <v>45418</v>
      </c>
      <c r="H293" s="1">
        <v>45433</v>
      </c>
      <c r="I293" s="4">
        <v>12340</v>
      </c>
      <c r="J293" t="s">
        <v>28</v>
      </c>
      <c r="K293" t="s">
        <v>29</v>
      </c>
      <c r="L293" t="s">
        <v>33</v>
      </c>
      <c r="M293" t="s">
        <v>22</v>
      </c>
      <c r="N293">
        <v>2</v>
      </c>
      <c r="X293">
        <v>5</v>
      </c>
      <c r="AB293" t="str">
        <f t="shared" si="4"/>
        <v>May</v>
      </c>
    </row>
    <row r="294" spans="1:28" x14ac:dyDescent="0.35">
      <c r="A294" t="s">
        <v>342</v>
      </c>
      <c r="B294">
        <v>33</v>
      </c>
      <c r="C294" t="s">
        <v>15</v>
      </c>
      <c r="D294" t="s">
        <v>53</v>
      </c>
      <c r="E294" t="s">
        <v>51</v>
      </c>
      <c r="F294" t="s">
        <v>36</v>
      </c>
      <c r="G294" s="1">
        <v>45455</v>
      </c>
      <c r="H294" s="1">
        <v>45466</v>
      </c>
      <c r="I294" s="4">
        <v>46474</v>
      </c>
      <c r="J294" t="s">
        <v>61</v>
      </c>
      <c r="K294" t="s">
        <v>29</v>
      </c>
      <c r="L294" t="s">
        <v>46</v>
      </c>
      <c r="M294" t="s">
        <v>38</v>
      </c>
      <c r="N294">
        <v>2</v>
      </c>
      <c r="X294">
        <v>6</v>
      </c>
      <c r="AB294" t="str">
        <f t="shared" si="4"/>
        <v>Jun</v>
      </c>
    </row>
    <row r="295" spans="1:28" x14ac:dyDescent="0.35">
      <c r="A295" t="s">
        <v>343</v>
      </c>
      <c r="B295">
        <v>23</v>
      </c>
      <c r="C295" t="s">
        <v>15</v>
      </c>
      <c r="D295" t="s">
        <v>53</v>
      </c>
      <c r="E295" t="s">
        <v>17</v>
      </c>
      <c r="F295" t="s">
        <v>18</v>
      </c>
      <c r="G295" s="1">
        <v>45498</v>
      </c>
      <c r="H295" s="1">
        <v>45506</v>
      </c>
      <c r="I295" s="4">
        <v>226113</v>
      </c>
      <c r="J295" t="s">
        <v>28</v>
      </c>
      <c r="K295" t="s">
        <v>20</v>
      </c>
      <c r="L295" t="s">
        <v>43</v>
      </c>
      <c r="M295" t="s">
        <v>64</v>
      </c>
      <c r="N295">
        <v>5</v>
      </c>
      <c r="X295">
        <v>7</v>
      </c>
      <c r="AB295" t="str">
        <f t="shared" si="4"/>
        <v>Jul</v>
      </c>
    </row>
    <row r="296" spans="1:28" x14ac:dyDescent="0.35">
      <c r="A296" t="s">
        <v>344</v>
      </c>
      <c r="B296">
        <v>82</v>
      </c>
      <c r="C296" t="s">
        <v>24</v>
      </c>
      <c r="D296" t="s">
        <v>50</v>
      </c>
      <c r="E296" t="s">
        <v>32</v>
      </c>
      <c r="F296" t="s">
        <v>36</v>
      </c>
      <c r="G296" s="1">
        <v>45436</v>
      </c>
      <c r="H296" s="1">
        <v>45442</v>
      </c>
      <c r="I296" s="4">
        <v>23612</v>
      </c>
      <c r="J296" t="s">
        <v>28</v>
      </c>
      <c r="K296" t="s">
        <v>20</v>
      </c>
      <c r="L296" t="s">
        <v>21</v>
      </c>
      <c r="M296" t="s">
        <v>38</v>
      </c>
      <c r="N296">
        <v>4</v>
      </c>
      <c r="X296">
        <v>5</v>
      </c>
      <c r="AB296" t="str">
        <f t="shared" si="4"/>
        <v>May</v>
      </c>
    </row>
    <row r="297" spans="1:28" x14ac:dyDescent="0.35">
      <c r="A297" t="s">
        <v>345</v>
      </c>
      <c r="B297">
        <v>35</v>
      </c>
      <c r="C297" t="s">
        <v>15</v>
      </c>
      <c r="D297" t="s">
        <v>31</v>
      </c>
      <c r="E297" t="s">
        <v>26</v>
      </c>
      <c r="F297" t="s">
        <v>36</v>
      </c>
      <c r="G297" s="1">
        <v>45434</v>
      </c>
      <c r="H297" s="1">
        <v>45438</v>
      </c>
      <c r="I297" s="4">
        <v>163705</v>
      </c>
      <c r="J297" t="s">
        <v>61</v>
      </c>
      <c r="K297" t="s">
        <v>20</v>
      </c>
      <c r="L297" t="s">
        <v>21</v>
      </c>
      <c r="M297" t="s">
        <v>22</v>
      </c>
      <c r="N297">
        <v>5</v>
      </c>
      <c r="X297">
        <v>5</v>
      </c>
      <c r="AB297" t="str">
        <f t="shared" si="4"/>
        <v>May</v>
      </c>
    </row>
    <row r="298" spans="1:28" x14ac:dyDescent="0.35">
      <c r="A298" t="s">
        <v>346</v>
      </c>
      <c r="B298">
        <v>66</v>
      </c>
      <c r="C298" t="s">
        <v>15</v>
      </c>
      <c r="D298" t="s">
        <v>31</v>
      </c>
      <c r="E298" t="s">
        <v>40</v>
      </c>
      <c r="F298" t="s">
        <v>41</v>
      </c>
      <c r="G298" s="1">
        <v>45934</v>
      </c>
      <c r="H298" s="1">
        <v>45951</v>
      </c>
      <c r="I298" s="4">
        <v>5420</v>
      </c>
      <c r="J298" t="s">
        <v>37</v>
      </c>
      <c r="K298" t="s">
        <v>29</v>
      </c>
      <c r="L298" t="s">
        <v>21</v>
      </c>
      <c r="M298" t="s">
        <v>22</v>
      </c>
      <c r="N298">
        <v>3</v>
      </c>
      <c r="X298">
        <v>10</v>
      </c>
      <c r="AB298" t="str">
        <f t="shared" si="4"/>
        <v>Oct</v>
      </c>
    </row>
    <row r="299" spans="1:28" x14ac:dyDescent="0.35">
      <c r="A299" t="s">
        <v>347</v>
      </c>
      <c r="B299">
        <v>44</v>
      </c>
      <c r="C299" t="s">
        <v>24</v>
      </c>
      <c r="D299" t="s">
        <v>58</v>
      </c>
      <c r="E299" t="s">
        <v>40</v>
      </c>
      <c r="F299" t="s">
        <v>27</v>
      </c>
      <c r="G299" s="1">
        <v>45666</v>
      </c>
      <c r="H299" s="1">
        <v>45678</v>
      </c>
      <c r="I299" s="4">
        <v>138726</v>
      </c>
      <c r="J299" t="s">
        <v>37</v>
      </c>
      <c r="K299" t="s">
        <v>63</v>
      </c>
      <c r="L299" t="s">
        <v>43</v>
      </c>
      <c r="M299" t="s">
        <v>22</v>
      </c>
      <c r="N299">
        <v>2</v>
      </c>
      <c r="X299">
        <v>1</v>
      </c>
      <c r="AB299" t="str">
        <f t="shared" si="4"/>
        <v>Jan</v>
      </c>
    </row>
    <row r="300" spans="1:28" x14ac:dyDescent="0.35">
      <c r="A300" t="s">
        <v>348</v>
      </c>
      <c r="B300">
        <v>47</v>
      </c>
      <c r="C300" t="s">
        <v>24</v>
      </c>
      <c r="D300" t="s">
        <v>25</v>
      </c>
      <c r="E300" t="s">
        <v>35</v>
      </c>
      <c r="F300" t="s">
        <v>41</v>
      </c>
      <c r="G300" s="1">
        <v>45533</v>
      </c>
      <c r="H300" s="1">
        <v>45552</v>
      </c>
      <c r="I300" s="4">
        <v>247092</v>
      </c>
      <c r="J300" t="s">
        <v>61</v>
      </c>
      <c r="K300" t="s">
        <v>42</v>
      </c>
      <c r="L300" t="s">
        <v>48</v>
      </c>
      <c r="M300" t="s">
        <v>64</v>
      </c>
      <c r="N300">
        <v>4</v>
      </c>
      <c r="X300">
        <v>8</v>
      </c>
      <c r="AB300" t="str">
        <f t="shared" si="4"/>
        <v>Aug</v>
      </c>
    </row>
    <row r="301" spans="1:28" x14ac:dyDescent="0.35">
      <c r="A301" t="s">
        <v>349</v>
      </c>
      <c r="B301">
        <v>64</v>
      </c>
      <c r="C301" t="s">
        <v>15</v>
      </c>
      <c r="D301" t="s">
        <v>50</v>
      </c>
      <c r="E301" t="s">
        <v>17</v>
      </c>
      <c r="F301" t="s">
        <v>18</v>
      </c>
      <c r="G301" s="1">
        <v>45896</v>
      </c>
      <c r="H301" s="1">
        <v>45902</v>
      </c>
      <c r="I301" s="4">
        <v>46617</v>
      </c>
      <c r="J301" t="s">
        <v>37</v>
      </c>
      <c r="K301" t="s">
        <v>63</v>
      </c>
      <c r="L301" t="s">
        <v>43</v>
      </c>
      <c r="M301" t="s">
        <v>64</v>
      </c>
      <c r="N301">
        <v>4</v>
      </c>
      <c r="X301">
        <v>8</v>
      </c>
      <c r="AB301" t="str">
        <f t="shared" si="4"/>
        <v>Aug</v>
      </c>
    </row>
    <row r="302" spans="1:28" x14ac:dyDescent="0.35">
      <c r="A302" t="s">
        <v>350</v>
      </c>
      <c r="B302">
        <v>70</v>
      </c>
      <c r="C302" t="s">
        <v>15</v>
      </c>
      <c r="D302" t="s">
        <v>31</v>
      </c>
      <c r="E302" t="s">
        <v>40</v>
      </c>
      <c r="F302" t="s">
        <v>56</v>
      </c>
      <c r="G302" s="1">
        <v>45372</v>
      </c>
      <c r="H302" s="1">
        <v>45392</v>
      </c>
      <c r="I302" s="4">
        <v>216958</v>
      </c>
      <c r="J302" t="s">
        <v>37</v>
      </c>
      <c r="K302" t="s">
        <v>29</v>
      </c>
      <c r="L302" t="s">
        <v>43</v>
      </c>
      <c r="M302" t="s">
        <v>38</v>
      </c>
      <c r="N302">
        <v>2</v>
      </c>
      <c r="X302">
        <v>3</v>
      </c>
      <c r="AB302" t="str">
        <f t="shared" si="4"/>
        <v>Mar</v>
      </c>
    </row>
    <row r="303" spans="1:28" x14ac:dyDescent="0.35">
      <c r="A303" t="s">
        <v>351</v>
      </c>
      <c r="B303">
        <v>58</v>
      </c>
      <c r="C303" t="s">
        <v>24</v>
      </c>
      <c r="D303" t="s">
        <v>31</v>
      </c>
      <c r="E303" t="s">
        <v>26</v>
      </c>
      <c r="F303" t="s">
        <v>18</v>
      </c>
      <c r="G303" s="1">
        <v>45536</v>
      </c>
      <c r="H303" s="1">
        <v>45540</v>
      </c>
      <c r="I303" s="4">
        <v>35849</v>
      </c>
      <c r="J303" t="s">
        <v>19</v>
      </c>
      <c r="K303" t="s">
        <v>63</v>
      </c>
      <c r="L303" t="s">
        <v>43</v>
      </c>
      <c r="M303" t="s">
        <v>64</v>
      </c>
      <c r="N303">
        <v>1</v>
      </c>
      <c r="X303">
        <v>9</v>
      </c>
      <c r="AB303" t="str">
        <f t="shared" si="4"/>
        <v>Sep</v>
      </c>
    </row>
    <row r="304" spans="1:28" x14ac:dyDescent="0.35">
      <c r="A304" t="s">
        <v>352</v>
      </c>
      <c r="B304">
        <v>63</v>
      </c>
      <c r="C304" t="s">
        <v>15</v>
      </c>
      <c r="D304" t="s">
        <v>50</v>
      </c>
      <c r="E304" t="s">
        <v>51</v>
      </c>
      <c r="F304" t="s">
        <v>18</v>
      </c>
      <c r="G304" s="1">
        <v>45435</v>
      </c>
      <c r="H304" s="1">
        <v>45449</v>
      </c>
      <c r="I304" s="4">
        <v>113664</v>
      </c>
      <c r="J304" t="s">
        <v>19</v>
      </c>
      <c r="K304" t="s">
        <v>63</v>
      </c>
      <c r="L304" t="s">
        <v>33</v>
      </c>
      <c r="M304" t="s">
        <v>64</v>
      </c>
      <c r="N304">
        <v>4</v>
      </c>
      <c r="X304">
        <v>5</v>
      </c>
      <c r="AB304" t="str">
        <f t="shared" si="4"/>
        <v>May</v>
      </c>
    </row>
    <row r="305" spans="1:28" x14ac:dyDescent="0.35">
      <c r="A305" t="s">
        <v>353</v>
      </c>
      <c r="B305">
        <v>29</v>
      </c>
      <c r="C305" t="s">
        <v>24</v>
      </c>
      <c r="D305" t="s">
        <v>58</v>
      </c>
      <c r="E305" t="s">
        <v>35</v>
      </c>
      <c r="F305" t="s">
        <v>41</v>
      </c>
      <c r="G305" s="1">
        <v>45708</v>
      </c>
      <c r="H305" s="1">
        <v>45711</v>
      </c>
      <c r="I305" s="4">
        <v>95524</v>
      </c>
      <c r="J305" t="s">
        <v>37</v>
      </c>
      <c r="K305" t="s">
        <v>42</v>
      </c>
      <c r="L305" t="s">
        <v>43</v>
      </c>
      <c r="M305" t="s">
        <v>22</v>
      </c>
      <c r="N305">
        <v>1</v>
      </c>
      <c r="X305">
        <v>2</v>
      </c>
      <c r="AB305" t="str">
        <f t="shared" si="4"/>
        <v>Feb</v>
      </c>
    </row>
    <row r="306" spans="1:28" x14ac:dyDescent="0.35">
      <c r="A306" t="s">
        <v>354</v>
      </c>
      <c r="B306">
        <v>21</v>
      </c>
      <c r="C306" t="s">
        <v>15</v>
      </c>
      <c r="D306" t="s">
        <v>16</v>
      </c>
      <c r="E306" t="s">
        <v>26</v>
      </c>
      <c r="F306" t="s">
        <v>27</v>
      </c>
      <c r="G306" s="1">
        <v>45780</v>
      </c>
      <c r="H306" s="1">
        <v>45792</v>
      </c>
      <c r="I306" s="4">
        <v>75753</v>
      </c>
      <c r="J306" t="s">
        <v>37</v>
      </c>
      <c r="K306" t="s">
        <v>29</v>
      </c>
      <c r="L306" t="s">
        <v>43</v>
      </c>
      <c r="M306" t="s">
        <v>22</v>
      </c>
      <c r="N306">
        <v>2</v>
      </c>
      <c r="X306">
        <v>5</v>
      </c>
      <c r="AB306" t="str">
        <f t="shared" si="4"/>
        <v>May</v>
      </c>
    </row>
    <row r="307" spans="1:28" x14ac:dyDescent="0.35">
      <c r="A307" t="s">
        <v>355</v>
      </c>
      <c r="B307">
        <v>36</v>
      </c>
      <c r="C307" t="s">
        <v>15</v>
      </c>
      <c r="D307" t="s">
        <v>58</v>
      </c>
      <c r="E307" t="s">
        <v>35</v>
      </c>
      <c r="F307" t="s">
        <v>56</v>
      </c>
      <c r="G307" s="1">
        <v>45411</v>
      </c>
      <c r="H307" s="1">
        <v>45422</v>
      </c>
      <c r="I307" s="4">
        <v>85483</v>
      </c>
      <c r="J307" t="s">
        <v>37</v>
      </c>
      <c r="K307" t="s">
        <v>20</v>
      </c>
      <c r="L307" t="s">
        <v>46</v>
      </c>
      <c r="M307" t="s">
        <v>22</v>
      </c>
      <c r="N307">
        <v>4</v>
      </c>
      <c r="X307">
        <v>4</v>
      </c>
      <c r="AB307" t="str">
        <f t="shared" si="4"/>
        <v>Apr</v>
      </c>
    </row>
    <row r="308" spans="1:28" x14ac:dyDescent="0.35">
      <c r="A308" t="s">
        <v>356</v>
      </c>
      <c r="B308">
        <v>47</v>
      </c>
      <c r="C308" t="s">
        <v>24</v>
      </c>
      <c r="D308" t="s">
        <v>50</v>
      </c>
      <c r="E308" t="s">
        <v>32</v>
      </c>
      <c r="F308" t="s">
        <v>18</v>
      </c>
      <c r="G308" s="1">
        <v>45392</v>
      </c>
      <c r="H308" s="1">
        <v>45404</v>
      </c>
      <c r="I308" s="4">
        <v>236256</v>
      </c>
      <c r="J308" t="s">
        <v>19</v>
      </c>
      <c r="K308" t="s">
        <v>20</v>
      </c>
      <c r="L308" t="s">
        <v>21</v>
      </c>
      <c r="M308" t="s">
        <v>64</v>
      </c>
      <c r="N308">
        <v>4</v>
      </c>
      <c r="X308">
        <v>4</v>
      </c>
      <c r="AB308" t="str">
        <f t="shared" si="4"/>
        <v>Apr</v>
      </c>
    </row>
    <row r="309" spans="1:28" x14ac:dyDescent="0.35">
      <c r="A309" t="s">
        <v>357</v>
      </c>
      <c r="B309">
        <v>54</v>
      </c>
      <c r="C309" t="s">
        <v>15</v>
      </c>
      <c r="D309" t="s">
        <v>50</v>
      </c>
      <c r="E309" t="s">
        <v>32</v>
      </c>
      <c r="F309" t="s">
        <v>36</v>
      </c>
      <c r="G309" s="1">
        <v>45436</v>
      </c>
      <c r="H309" s="1">
        <v>45455</v>
      </c>
      <c r="I309" s="4">
        <v>44269</v>
      </c>
      <c r="J309" t="s">
        <v>61</v>
      </c>
      <c r="K309" t="s">
        <v>63</v>
      </c>
      <c r="L309" t="s">
        <v>21</v>
      </c>
      <c r="M309" t="s">
        <v>64</v>
      </c>
      <c r="N309">
        <v>5</v>
      </c>
      <c r="X309">
        <v>5</v>
      </c>
      <c r="AB309" t="str">
        <f t="shared" si="4"/>
        <v>May</v>
      </c>
    </row>
    <row r="310" spans="1:28" x14ac:dyDescent="0.35">
      <c r="A310" t="s">
        <v>358</v>
      </c>
      <c r="B310">
        <v>35</v>
      </c>
      <c r="C310" t="s">
        <v>15</v>
      </c>
      <c r="D310" t="s">
        <v>25</v>
      </c>
      <c r="E310" t="s">
        <v>35</v>
      </c>
      <c r="F310" t="s">
        <v>56</v>
      </c>
      <c r="G310" s="1">
        <v>45571</v>
      </c>
      <c r="H310" s="1">
        <v>45585</v>
      </c>
      <c r="I310" s="4">
        <v>72383</v>
      </c>
      <c r="J310" t="s">
        <v>61</v>
      </c>
      <c r="K310" t="s">
        <v>42</v>
      </c>
      <c r="L310" t="s">
        <v>43</v>
      </c>
      <c r="M310" t="s">
        <v>38</v>
      </c>
      <c r="N310">
        <v>2</v>
      </c>
      <c r="X310">
        <v>10</v>
      </c>
      <c r="AB310" t="str">
        <f t="shared" si="4"/>
        <v>Oct</v>
      </c>
    </row>
    <row r="311" spans="1:28" x14ac:dyDescent="0.35">
      <c r="A311" t="s">
        <v>359</v>
      </c>
      <c r="B311">
        <v>69</v>
      </c>
      <c r="C311" t="s">
        <v>24</v>
      </c>
      <c r="D311" t="s">
        <v>31</v>
      </c>
      <c r="E311" t="s">
        <v>51</v>
      </c>
      <c r="F311" t="s">
        <v>56</v>
      </c>
      <c r="G311" s="1">
        <v>45586</v>
      </c>
      <c r="H311" s="1">
        <v>45595</v>
      </c>
      <c r="I311" s="4">
        <v>70571</v>
      </c>
      <c r="J311" t="s">
        <v>37</v>
      </c>
      <c r="K311" t="s">
        <v>29</v>
      </c>
      <c r="L311" t="s">
        <v>33</v>
      </c>
      <c r="M311" t="s">
        <v>38</v>
      </c>
      <c r="N311">
        <v>3</v>
      </c>
      <c r="X311">
        <v>10</v>
      </c>
      <c r="AB311" t="str">
        <f t="shared" si="4"/>
        <v>Oct</v>
      </c>
    </row>
    <row r="312" spans="1:28" x14ac:dyDescent="0.35">
      <c r="A312" t="s">
        <v>360</v>
      </c>
      <c r="B312">
        <v>56</v>
      </c>
      <c r="C312" t="s">
        <v>15</v>
      </c>
      <c r="D312" t="s">
        <v>45</v>
      </c>
      <c r="E312" t="s">
        <v>32</v>
      </c>
      <c r="F312" t="s">
        <v>41</v>
      </c>
      <c r="G312" s="1">
        <v>45437</v>
      </c>
      <c r="H312" s="1">
        <v>45449</v>
      </c>
      <c r="I312" s="4">
        <v>155050</v>
      </c>
      <c r="J312" t="s">
        <v>61</v>
      </c>
      <c r="K312" t="s">
        <v>42</v>
      </c>
      <c r="L312" t="s">
        <v>43</v>
      </c>
      <c r="M312" t="s">
        <v>22</v>
      </c>
      <c r="N312">
        <v>3</v>
      </c>
      <c r="X312">
        <v>5</v>
      </c>
      <c r="AB312" t="str">
        <f t="shared" si="4"/>
        <v>May</v>
      </c>
    </row>
    <row r="313" spans="1:28" x14ac:dyDescent="0.35">
      <c r="A313" t="s">
        <v>361</v>
      </c>
      <c r="B313">
        <v>50</v>
      </c>
      <c r="C313" t="s">
        <v>24</v>
      </c>
      <c r="D313" t="s">
        <v>50</v>
      </c>
      <c r="E313" t="s">
        <v>26</v>
      </c>
      <c r="F313" t="s">
        <v>41</v>
      </c>
      <c r="G313" s="1">
        <v>46015</v>
      </c>
      <c r="H313" s="1">
        <v>46019</v>
      </c>
      <c r="I313" s="4">
        <v>141908</v>
      </c>
      <c r="J313" t="s">
        <v>19</v>
      </c>
      <c r="K313" t="s">
        <v>63</v>
      </c>
      <c r="L313" t="s">
        <v>46</v>
      </c>
      <c r="M313" t="s">
        <v>22</v>
      </c>
      <c r="N313">
        <v>2</v>
      </c>
      <c r="X313">
        <v>12</v>
      </c>
      <c r="AB313" t="str">
        <f t="shared" si="4"/>
        <v>Dec</v>
      </c>
    </row>
    <row r="314" spans="1:28" x14ac:dyDescent="0.35">
      <c r="A314" t="s">
        <v>362</v>
      </c>
      <c r="B314">
        <v>84</v>
      </c>
      <c r="C314" t="s">
        <v>24</v>
      </c>
      <c r="D314" t="s">
        <v>45</v>
      </c>
      <c r="E314" t="s">
        <v>51</v>
      </c>
      <c r="F314" t="s">
        <v>56</v>
      </c>
      <c r="G314" s="1">
        <v>45538</v>
      </c>
      <c r="H314" s="1">
        <v>45545</v>
      </c>
      <c r="I314" s="4">
        <v>165739</v>
      </c>
      <c r="J314" t="s">
        <v>37</v>
      </c>
      <c r="K314" t="s">
        <v>29</v>
      </c>
      <c r="L314" t="s">
        <v>33</v>
      </c>
      <c r="M314" t="s">
        <v>38</v>
      </c>
      <c r="N314">
        <v>2</v>
      </c>
      <c r="X314">
        <v>9</v>
      </c>
      <c r="AB314" t="str">
        <f t="shared" si="4"/>
        <v>Sep</v>
      </c>
    </row>
    <row r="315" spans="1:28" x14ac:dyDescent="0.35">
      <c r="A315" t="s">
        <v>363</v>
      </c>
      <c r="B315">
        <v>50</v>
      </c>
      <c r="C315" t="s">
        <v>15</v>
      </c>
      <c r="D315" t="s">
        <v>16</v>
      </c>
      <c r="E315" t="s">
        <v>35</v>
      </c>
      <c r="F315" t="s">
        <v>56</v>
      </c>
      <c r="G315" s="1">
        <v>45647</v>
      </c>
      <c r="H315" s="1">
        <v>45657</v>
      </c>
      <c r="I315" s="4">
        <v>102426</v>
      </c>
      <c r="J315" t="s">
        <v>19</v>
      </c>
      <c r="K315" t="s">
        <v>29</v>
      </c>
      <c r="L315" t="s">
        <v>43</v>
      </c>
      <c r="M315" t="s">
        <v>38</v>
      </c>
      <c r="N315">
        <v>1</v>
      </c>
      <c r="X315">
        <v>12</v>
      </c>
      <c r="AB315" t="str">
        <f t="shared" si="4"/>
        <v>Dec</v>
      </c>
    </row>
    <row r="316" spans="1:28" x14ac:dyDescent="0.35">
      <c r="A316" t="s">
        <v>364</v>
      </c>
      <c r="B316">
        <v>34</v>
      </c>
      <c r="C316" t="s">
        <v>15</v>
      </c>
      <c r="D316" t="s">
        <v>16</v>
      </c>
      <c r="E316" t="s">
        <v>35</v>
      </c>
      <c r="F316" t="s">
        <v>41</v>
      </c>
      <c r="G316" s="1">
        <v>46006</v>
      </c>
      <c r="H316" s="1">
        <v>46022</v>
      </c>
      <c r="I316" s="4">
        <v>54236</v>
      </c>
      <c r="J316" t="s">
        <v>37</v>
      </c>
      <c r="K316" t="s">
        <v>29</v>
      </c>
      <c r="L316" t="s">
        <v>21</v>
      </c>
      <c r="M316" t="s">
        <v>22</v>
      </c>
      <c r="N316">
        <v>4</v>
      </c>
      <c r="X316">
        <v>12</v>
      </c>
      <c r="AB316" t="str">
        <f t="shared" si="4"/>
        <v>Dec</v>
      </c>
    </row>
    <row r="317" spans="1:28" x14ac:dyDescent="0.35">
      <c r="A317" t="s">
        <v>365</v>
      </c>
      <c r="B317">
        <v>67</v>
      </c>
      <c r="C317" t="s">
        <v>15</v>
      </c>
      <c r="D317" t="s">
        <v>53</v>
      </c>
      <c r="E317" t="s">
        <v>17</v>
      </c>
      <c r="F317" t="s">
        <v>27</v>
      </c>
      <c r="G317" s="1">
        <v>45465</v>
      </c>
      <c r="H317" s="1">
        <v>45478</v>
      </c>
      <c r="I317" s="4">
        <v>24994</v>
      </c>
      <c r="J317" t="s">
        <v>61</v>
      </c>
      <c r="K317" t="s">
        <v>29</v>
      </c>
      <c r="L317" t="s">
        <v>48</v>
      </c>
      <c r="M317" t="s">
        <v>22</v>
      </c>
      <c r="N317">
        <v>3</v>
      </c>
      <c r="X317">
        <v>6</v>
      </c>
      <c r="AB317" t="str">
        <f t="shared" si="4"/>
        <v>Jun</v>
      </c>
    </row>
    <row r="318" spans="1:28" x14ac:dyDescent="0.35">
      <c r="A318" t="s">
        <v>366</v>
      </c>
      <c r="B318">
        <v>73</v>
      </c>
      <c r="C318" t="s">
        <v>15</v>
      </c>
      <c r="D318" t="s">
        <v>58</v>
      </c>
      <c r="E318" t="s">
        <v>17</v>
      </c>
      <c r="F318" t="s">
        <v>56</v>
      </c>
      <c r="G318" s="1">
        <v>45697</v>
      </c>
      <c r="H318" s="1">
        <v>45714</v>
      </c>
      <c r="I318" s="4">
        <v>50674</v>
      </c>
      <c r="J318" t="s">
        <v>61</v>
      </c>
      <c r="K318" t="s">
        <v>20</v>
      </c>
      <c r="L318" t="s">
        <v>21</v>
      </c>
      <c r="M318" t="s">
        <v>22</v>
      </c>
      <c r="N318">
        <v>4</v>
      </c>
      <c r="X318">
        <v>2</v>
      </c>
      <c r="AB318" t="str">
        <f t="shared" si="4"/>
        <v>Feb</v>
      </c>
    </row>
    <row r="319" spans="1:28" x14ac:dyDescent="0.35">
      <c r="A319" t="s">
        <v>367</v>
      </c>
      <c r="B319">
        <v>85</v>
      </c>
      <c r="C319" t="s">
        <v>15</v>
      </c>
      <c r="D319" t="s">
        <v>50</v>
      </c>
      <c r="E319" t="s">
        <v>32</v>
      </c>
      <c r="F319" t="s">
        <v>56</v>
      </c>
      <c r="G319" s="1">
        <v>45670</v>
      </c>
      <c r="H319" s="1">
        <v>45677</v>
      </c>
      <c r="I319" s="4">
        <v>38158</v>
      </c>
      <c r="J319" t="s">
        <v>61</v>
      </c>
      <c r="K319" t="s">
        <v>20</v>
      </c>
      <c r="L319" t="s">
        <v>21</v>
      </c>
      <c r="M319" t="s">
        <v>22</v>
      </c>
      <c r="N319">
        <v>3</v>
      </c>
      <c r="X319">
        <v>1</v>
      </c>
      <c r="AB319" t="str">
        <f t="shared" si="4"/>
        <v>Jan</v>
      </c>
    </row>
    <row r="320" spans="1:28" x14ac:dyDescent="0.35">
      <c r="A320" t="s">
        <v>368</v>
      </c>
      <c r="B320">
        <v>26</v>
      </c>
      <c r="C320" t="s">
        <v>15</v>
      </c>
      <c r="D320" t="s">
        <v>31</v>
      </c>
      <c r="E320" t="s">
        <v>35</v>
      </c>
      <c r="F320" t="s">
        <v>18</v>
      </c>
      <c r="G320" s="1">
        <v>45860</v>
      </c>
      <c r="H320" s="1">
        <v>45867</v>
      </c>
      <c r="I320" s="4">
        <v>41745</v>
      </c>
      <c r="J320" t="s">
        <v>37</v>
      </c>
      <c r="K320" t="s">
        <v>63</v>
      </c>
      <c r="L320" t="s">
        <v>21</v>
      </c>
      <c r="M320" t="s">
        <v>64</v>
      </c>
      <c r="N320">
        <v>5</v>
      </c>
      <c r="X320">
        <v>7</v>
      </c>
      <c r="AB320" t="str">
        <f t="shared" si="4"/>
        <v>Jul</v>
      </c>
    </row>
    <row r="321" spans="1:28" x14ac:dyDescent="0.35">
      <c r="A321" t="s">
        <v>369</v>
      </c>
      <c r="B321">
        <v>81</v>
      </c>
      <c r="C321" t="s">
        <v>15</v>
      </c>
      <c r="D321" t="s">
        <v>58</v>
      </c>
      <c r="E321" t="s">
        <v>26</v>
      </c>
      <c r="F321" t="s">
        <v>41</v>
      </c>
      <c r="G321" s="1">
        <v>45673</v>
      </c>
      <c r="H321" s="1">
        <v>45680</v>
      </c>
      <c r="I321" s="4">
        <v>214498</v>
      </c>
      <c r="J321" t="s">
        <v>28</v>
      </c>
      <c r="K321" t="s">
        <v>63</v>
      </c>
      <c r="L321" t="s">
        <v>48</v>
      </c>
      <c r="M321" t="s">
        <v>64</v>
      </c>
      <c r="N321">
        <v>1</v>
      </c>
      <c r="X321">
        <v>1</v>
      </c>
      <c r="AB321" t="str">
        <f t="shared" si="4"/>
        <v>Jan</v>
      </c>
    </row>
    <row r="322" spans="1:28" x14ac:dyDescent="0.35">
      <c r="A322" t="s">
        <v>370</v>
      </c>
      <c r="B322">
        <v>76</v>
      </c>
      <c r="C322" t="s">
        <v>15</v>
      </c>
      <c r="D322" t="s">
        <v>58</v>
      </c>
      <c r="E322" t="s">
        <v>32</v>
      </c>
      <c r="F322" t="s">
        <v>18</v>
      </c>
      <c r="G322" s="1">
        <v>45768</v>
      </c>
      <c r="H322" s="1">
        <v>45778</v>
      </c>
      <c r="I322" s="4">
        <v>94080</v>
      </c>
      <c r="J322" t="s">
        <v>19</v>
      </c>
      <c r="K322" t="s">
        <v>29</v>
      </c>
      <c r="L322" t="s">
        <v>33</v>
      </c>
      <c r="M322" t="s">
        <v>22</v>
      </c>
      <c r="N322">
        <v>2</v>
      </c>
      <c r="X322">
        <v>4</v>
      </c>
      <c r="AB322" t="str">
        <f t="shared" si="4"/>
        <v>Apr</v>
      </c>
    </row>
    <row r="323" spans="1:28" x14ac:dyDescent="0.35">
      <c r="A323" t="s">
        <v>371</v>
      </c>
      <c r="B323">
        <v>85</v>
      </c>
      <c r="C323" t="s">
        <v>24</v>
      </c>
      <c r="D323" t="s">
        <v>45</v>
      </c>
      <c r="E323" t="s">
        <v>26</v>
      </c>
      <c r="F323" t="s">
        <v>36</v>
      </c>
      <c r="G323" s="1">
        <v>45338</v>
      </c>
      <c r="H323" s="1">
        <v>45340</v>
      </c>
      <c r="I323" s="4">
        <v>30957</v>
      </c>
      <c r="J323" t="s">
        <v>61</v>
      </c>
      <c r="K323" t="s">
        <v>20</v>
      </c>
      <c r="L323" t="s">
        <v>33</v>
      </c>
      <c r="M323" t="s">
        <v>22</v>
      </c>
      <c r="N323">
        <v>1</v>
      </c>
      <c r="X323">
        <v>2</v>
      </c>
      <c r="AB323" t="str">
        <f t="shared" ref="AB323:AB386" si="5">TEXT(G323,"mmm")</f>
        <v>Feb</v>
      </c>
    </row>
    <row r="324" spans="1:28" x14ac:dyDescent="0.35">
      <c r="A324" t="s">
        <v>372</v>
      </c>
      <c r="B324">
        <v>47</v>
      </c>
      <c r="C324" t="s">
        <v>24</v>
      </c>
      <c r="D324" t="s">
        <v>45</v>
      </c>
      <c r="E324" t="s">
        <v>26</v>
      </c>
      <c r="F324" t="s">
        <v>18</v>
      </c>
      <c r="G324" s="1">
        <v>45837</v>
      </c>
      <c r="H324" s="1">
        <v>45842</v>
      </c>
      <c r="I324" s="4">
        <v>94656</v>
      </c>
      <c r="J324" t="s">
        <v>61</v>
      </c>
      <c r="K324" t="s">
        <v>20</v>
      </c>
      <c r="L324" t="s">
        <v>33</v>
      </c>
      <c r="M324" t="s">
        <v>64</v>
      </c>
      <c r="N324">
        <v>5</v>
      </c>
      <c r="X324">
        <v>6</v>
      </c>
      <c r="AB324" t="str">
        <f t="shared" si="5"/>
        <v>Jun</v>
      </c>
    </row>
    <row r="325" spans="1:28" x14ac:dyDescent="0.35">
      <c r="A325" t="s">
        <v>373</v>
      </c>
      <c r="B325">
        <v>71</v>
      </c>
      <c r="C325" t="s">
        <v>15</v>
      </c>
      <c r="D325" t="s">
        <v>58</v>
      </c>
      <c r="E325" t="s">
        <v>32</v>
      </c>
      <c r="F325" t="s">
        <v>41</v>
      </c>
      <c r="G325" s="1">
        <v>45894</v>
      </c>
      <c r="H325" s="1">
        <v>45908</v>
      </c>
      <c r="I325" s="4">
        <v>137926</v>
      </c>
      <c r="J325" t="s">
        <v>37</v>
      </c>
      <c r="K325" t="s">
        <v>20</v>
      </c>
      <c r="L325" t="s">
        <v>33</v>
      </c>
      <c r="M325" t="s">
        <v>64</v>
      </c>
      <c r="N325">
        <v>3</v>
      </c>
      <c r="X325">
        <v>8</v>
      </c>
      <c r="AB325" t="str">
        <f t="shared" si="5"/>
        <v>Aug</v>
      </c>
    </row>
    <row r="326" spans="1:28" x14ac:dyDescent="0.35">
      <c r="A326" t="s">
        <v>374</v>
      </c>
      <c r="B326">
        <v>43</v>
      </c>
      <c r="C326" t="s">
        <v>15</v>
      </c>
      <c r="D326" t="s">
        <v>50</v>
      </c>
      <c r="E326" t="s">
        <v>51</v>
      </c>
      <c r="F326" t="s">
        <v>41</v>
      </c>
      <c r="G326" s="1">
        <v>45891</v>
      </c>
      <c r="H326" s="1">
        <v>45904</v>
      </c>
      <c r="I326" s="4">
        <v>154312</v>
      </c>
      <c r="J326" t="s">
        <v>37</v>
      </c>
      <c r="K326" t="s">
        <v>29</v>
      </c>
      <c r="L326" t="s">
        <v>43</v>
      </c>
      <c r="M326" t="s">
        <v>64</v>
      </c>
      <c r="N326">
        <v>1</v>
      </c>
      <c r="X326">
        <v>8</v>
      </c>
      <c r="AB326" t="str">
        <f t="shared" si="5"/>
        <v>Aug</v>
      </c>
    </row>
    <row r="327" spans="1:28" x14ac:dyDescent="0.35">
      <c r="A327" t="s">
        <v>375</v>
      </c>
      <c r="B327">
        <v>22</v>
      </c>
      <c r="C327" t="s">
        <v>24</v>
      </c>
      <c r="D327" t="s">
        <v>50</v>
      </c>
      <c r="E327" t="s">
        <v>32</v>
      </c>
      <c r="F327" t="s">
        <v>56</v>
      </c>
      <c r="G327" s="1">
        <v>45716</v>
      </c>
      <c r="H327" s="1">
        <v>45729</v>
      </c>
      <c r="I327" s="4">
        <v>105648</v>
      </c>
      <c r="J327" t="s">
        <v>37</v>
      </c>
      <c r="K327" t="s">
        <v>20</v>
      </c>
      <c r="L327" t="s">
        <v>21</v>
      </c>
      <c r="M327" t="s">
        <v>38</v>
      </c>
      <c r="N327">
        <v>2</v>
      </c>
      <c r="X327">
        <v>2</v>
      </c>
      <c r="AB327" t="str">
        <f t="shared" si="5"/>
        <v>Feb</v>
      </c>
    </row>
    <row r="328" spans="1:28" x14ac:dyDescent="0.35">
      <c r="A328" t="s">
        <v>376</v>
      </c>
      <c r="B328">
        <v>48</v>
      </c>
      <c r="C328" t="s">
        <v>24</v>
      </c>
      <c r="D328" t="s">
        <v>25</v>
      </c>
      <c r="E328" t="s">
        <v>26</v>
      </c>
      <c r="F328" t="s">
        <v>36</v>
      </c>
      <c r="G328" s="1">
        <v>45842</v>
      </c>
      <c r="H328" s="1">
        <v>45845</v>
      </c>
      <c r="I328" s="4">
        <v>177201</v>
      </c>
      <c r="J328" t="s">
        <v>28</v>
      </c>
      <c r="K328" t="s">
        <v>20</v>
      </c>
      <c r="L328" t="s">
        <v>46</v>
      </c>
      <c r="M328" t="s">
        <v>38</v>
      </c>
      <c r="N328">
        <v>4</v>
      </c>
      <c r="X328">
        <v>7</v>
      </c>
      <c r="AB328" t="str">
        <f t="shared" si="5"/>
        <v>Jul</v>
      </c>
    </row>
    <row r="329" spans="1:28" x14ac:dyDescent="0.35">
      <c r="A329" t="s">
        <v>377</v>
      </c>
      <c r="B329">
        <v>76</v>
      </c>
      <c r="C329" t="s">
        <v>24</v>
      </c>
      <c r="D329" t="s">
        <v>58</v>
      </c>
      <c r="E329" t="s">
        <v>40</v>
      </c>
      <c r="F329" t="s">
        <v>27</v>
      </c>
      <c r="G329" s="1">
        <v>45431</v>
      </c>
      <c r="H329" s="1">
        <v>45445</v>
      </c>
      <c r="I329" s="4">
        <v>150142</v>
      </c>
      <c r="J329" t="s">
        <v>19</v>
      </c>
      <c r="K329" t="s">
        <v>63</v>
      </c>
      <c r="L329" t="s">
        <v>21</v>
      </c>
      <c r="M329" t="s">
        <v>64</v>
      </c>
      <c r="N329">
        <v>2</v>
      </c>
      <c r="X329">
        <v>5</v>
      </c>
      <c r="AB329" t="str">
        <f t="shared" si="5"/>
        <v>May</v>
      </c>
    </row>
    <row r="330" spans="1:28" x14ac:dyDescent="0.35">
      <c r="A330" t="s">
        <v>378</v>
      </c>
      <c r="B330">
        <v>57</v>
      </c>
      <c r="C330" t="s">
        <v>15</v>
      </c>
      <c r="D330" t="s">
        <v>53</v>
      </c>
      <c r="E330" t="s">
        <v>51</v>
      </c>
      <c r="F330" t="s">
        <v>41</v>
      </c>
      <c r="G330" s="1">
        <v>45451</v>
      </c>
      <c r="H330" s="1">
        <v>45470</v>
      </c>
      <c r="I330" s="4">
        <v>35288</v>
      </c>
      <c r="J330" t="s">
        <v>28</v>
      </c>
      <c r="K330" t="s">
        <v>20</v>
      </c>
      <c r="L330" t="s">
        <v>46</v>
      </c>
      <c r="M330" t="s">
        <v>38</v>
      </c>
      <c r="N330">
        <v>2</v>
      </c>
      <c r="X330">
        <v>6</v>
      </c>
      <c r="AB330" t="str">
        <f t="shared" si="5"/>
        <v>Jun</v>
      </c>
    </row>
    <row r="331" spans="1:28" x14ac:dyDescent="0.35">
      <c r="A331" t="s">
        <v>379</v>
      </c>
      <c r="B331">
        <v>69</v>
      </c>
      <c r="C331" t="s">
        <v>15</v>
      </c>
      <c r="D331" t="s">
        <v>50</v>
      </c>
      <c r="E331" t="s">
        <v>40</v>
      </c>
      <c r="F331" t="s">
        <v>41</v>
      </c>
      <c r="G331" s="1">
        <v>45823</v>
      </c>
      <c r="H331" s="1">
        <v>45824</v>
      </c>
      <c r="I331" s="4">
        <v>185772</v>
      </c>
      <c r="J331" t="s">
        <v>37</v>
      </c>
      <c r="K331" t="s">
        <v>63</v>
      </c>
      <c r="L331" t="s">
        <v>46</v>
      </c>
      <c r="M331" t="s">
        <v>64</v>
      </c>
      <c r="N331">
        <v>3</v>
      </c>
      <c r="X331">
        <v>6</v>
      </c>
      <c r="AB331" t="str">
        <f t="shared" si="5"/>
        <v>Jun</v>
      </c>
    </row>
    <row r="332" spans="1:28" x14ac:dyDescent="0.35">
      <c r="A332" t="s">
        <v>380</v>
      </c>
      <c r="B332">
        <v>43</v>
      </c>
      <c r="C332" t="s">
        <v>24</v>
      </c>
      <c r="D332" t="s">
        <v>50</v>
      </c>
      <c r="E332" t="s">
        <v>17</v>
      </c>
      <c r="F332" t="s">
        <v>36</v>
      </c>
      <c r="G332" s="1">
        <v>45443</v>
      </c>
      <c r="H332" s="1">
        <v>45453</v>
      </c>
      <c r="I332" s="4">
        <v>164887</v>
      </c>
      <c r="J332" t="s">
        <v>61</v>
      </c>
      <c r="K332" t="s">
        <v>42</v>
      </c>
      <c r="L332" t="s">
        <v>43</v>
      </c>
      <c r="M332" t="s">
        <v>22</v>
      </c>
      <c r="N332">
        <v>1</v>
      </c>
      <c r="X332">
        <v>5</v>
      </c>
      <c r="AB332" t="str">
        <f t="shared" si="5"/>
        <v>May</v>
      </c>
    </row>
    <row r="333" spans="1:28" x14ac:dyDescent="0.35">
      <c r="A333" t="s">
        <v>381</v>
      </c>
      <c r="B333">
        <v>32</v>
      </c>
      <c r="C333" t="s">
        <v>24</v>
      </c>
      <c r="D333" t="s">
        <v>25</v>
      </c>
      <c r="E333" t="s">
        <v>17</v>
      </c>
      <c r="F333" t="s">
        <v>27</v>
      </c>
      <c r="G333" s="1">
        <v>45404</v>
      </c>
      <c r="H333" s="1">
        <v>45421</v>
      </c>
      <c r="I333" s="4">
        <v>214604</v>
      </c>
      <c r="J333" t="s">
        <v>19</v>
      </c>
      <c r="K333" t="s">
        <v>42</v>
      </c>
      <c r="L333" t="s">
        <v>33</v>
      </c>
      <c r="M333" t="s">
        <v>38</v>
      </c>
      <c r="N333">
        <v>4</v>
      </c>
      <c r="X333">
        <v>4</v>
      </c>
      <c r="AB333" t="str">
        <f t="shared" si="5"/>
        <v>Apr</v>
      </c>
    </row>
    <row r="334" spans="1:28" x14ac:dyDescent="0.35">
      <c r="A334" t="s">
        <v>382</v>
      </c>
      <c r="B334">
        <v>18</v>
      </c>
      <c r="C334" t="s">
        <v>24</v>
      </c>
      <c r="D334" t="s">
        <v>50</v>
      </c>
      <c r="E334" t="s">
        <v>26</v>
      </c>
      <c r="F334" t="s">
        <v>41</v>
      </c>
      <c r="G334" s="1">
        <v>45554</v>
      </c>
      <c r="H334" s="1">
        <v>45560</v>
      </c>
      <c r="I334" s="4">
        <v>69620</v>
      </c>
      <c r="J334" t="s">
        <v>61</v>
      </c>
      <c r="K334" t="s">
        <v>42</v>
      </c>
      <c r="L334" t="s">
        <v>21</v>
      </c>
      <c r="M334" t="s">
        <v>64</v>
      </c>
      <c r="N334">
        <v>3</v>
      </c>
      <c r="X334">
        <v>9</v>
      </c>
      <c r="AB334" t="str">
        <f t="shared" si="5"/>
        <v>Sep</v>
      </c>
    </row>
    <row r="335" spans="1:28" x14ac:dyDescent="0.35">
      <c r="A335" t="s">
        <v>383</v>
      </c>
      <c r="B335">
        <v>21</v>
      </c>
      <c r="C335" t="s">
        <v>24</v>
      </c>
      <c r="D335" t="s">
        <v>16</v>
      </c>
      <c r="E335" t="s">
        <v>32</v>
      </c>
      <c r="F335" t="s">
        <v>18</v>
      </c>
      <c r="G335" s="1">
        <v>45689</v>
      </c>
      <c r="H335" s="1">
        <v>45709</v>
      </c>
      <c r="I335" s="4">
        <v>163077</v>
      </c>
      <c r="J335" t="s">
        <v>37</v>
      </c>
      <c r="K335" t="s">
        <v>42</v>
      </c>
      <c r="L335" t="s">
        <v>21</v>
      </c>
      <c r="M335" t="s">
        <v>64</v>
      </c>
      <c r="N335">
        <v>2</v>
      </c>
      <c r="X335">
        <v>2</v>
      </c>
      <c r="AB335" t="str">
        <f t="shared" si="5"/>
        <v>Feb</v>
      </c>
    </row>
    <row r="336" spans="1:28" x14ac:dyDescent="0.35">
      <c r="A336" t="s">
        <v>384</v>
      </c>
      <c r="B336">
        <v>61</v>
      </c>
      <c r="C336" t="s">
        <v>15</v>
      </c>
      <c r="D336" t="s">
        <v>58</v>
      </c>
      <c r="E336" t="s">
        <v>51</v>
      </c>
      <c r="F336" t="s">
        <v>27</v>
      </c>
      <c r="G336" s="1">
        <v>45677</v>
      </c>
      <c r="H336" s="1">
        <v>45691</v>
      </c>
      <c r="I336" s="4">
        <v>73062</v>
      </c>
      <c r="J336" t="s">
        <v>61</v>
      </c>
      <c r="K336" t="s">
        <v>63</v>
      </c>
      <c r="L336" t="s">
        <v>33</v>
      </c>
      <c r="M336" t="s">
        <v>64</v>
      </c>
      <c r="N336">
        <v>5</v>
      </c>
      <c r="X336">
        <v>1</v>
      </c>
      <c r="AB336" t="str">
        <f t="shared" si="5"/>
        <v>Jan</v>
      </c>
    </row>
    <row r="337" spans="1:28" x14ac:dyDescent="0.35">
      <c r="A337" t="s">
        <v>385</v>
      </c>
      <c r="B337">
        <v>69</v>
      </c>
      <c r="C337" t="s">
        <v>24</v>
      </c>
      <c r="D337" t="s">
        <v>58</v>
      </c>
      <c r="E337" t="s">
        <v>51</v>
      </c>
      <c r="F337" t="s">
        <v>56</v>
      </c>
      <c r="G337" s="1">
        <v>45706</v>
      </c>
      <c r="H337" s="1">
        <v>45707</v>
      </c>
      <c r="I337" s="4">
        <v>55743</v>
      </c>
      <c r="J337" t="s">
        <v>28</v>
      </c>
      <c r="K337" t="s">
        <v>29</v>
      </c>
      <c r="L337" t="s">
        <v>43</v>
      </c>
      <c r="M337" t="s">
        <v>38</v>
      </c>
      <c r="N337">
        <v>2</v>
      </c>
      <c r="X337">
        <v>2</v>
      </c>
      <c r="AB337" t="str">
        <f t="shared" si="5"/>
        <v>Feb</v>
      </c>
    </row>
    <row r="338" spans="1:28" x14ac:dyDescent="0.35">
      <c r="A338" t="s">
        <v>386</v>
      </c>
      <c r="B338">
        <v>39</v>
      </c>
      <c r="C338" t="s">
        <v>24</v>
      </c>
      <c r="D338" t="s">
        <v>31</v>
      </c>
      <c r="E338" t="s">
        <v>32</v>
      </c>
      <c r="F338" t="s">
        <v>36</v>
      </c>
      <c r="G338" s="1">
        <v>45473</v>
      </c>
      <c r="H338" s="1">
        <v>45481</v>
      </c>
      <c r="I338" s="4">
        <v>99443</v>
      </c>
      <c r="J338" t="s">
        <v>61</v>
      </c>
      <c r="K338" t="s">
        <v>20</v>
      </c>
      <c r="L338" t="s">
        <v>43</v>
      </c>
      <c r="M338" t="s">
        <v>64</v>
      </c>
      <c r="N338">
        <v>4</v>
      </c>
      <c r="X338">
        <v>6</v>
      </c>
      <c r="AB338" t="str">
        <f t="shared" si="5"/>
        <v>Jun</v>
      </c>
    </row>
    <row r="339" spans="1:28" x14ac:dyDescent="0.35">
      <c r="A339" t="s">
        <v>387</v>
      </c>
      <c r="B339">
        <v>77</v>
      </c>
      <c r="C339" t="s">
        <v>15</v>
      </c>
      <c r="D339" t="s">
        <v>50</v>
      </c>
      <c r="E339" t="s">
        <v>26</v>
      </c>
      <c r="F339" t="s">
        <v>27</v>
      </c>
      <c r="G339" s="1">
        <v>45423</v>
      </c>
      <c r="H339" s="1">
        <v>45443</v>
      </c>
      <c r="I339" s="4">
        <v>138050</v>
      </c>
      <c r="J339" t="s">
        <v>37</v>
      </c>
      <c r="K339" t="s">
        <v>20</v>
      </c>
      <c r="L339" t="s">
        <v>33</v>
      </c>
      <c r="M339" t="s">
        <v>64</v>
      </c>
      <c r="N339">
        <v>5</v>
      </c>
      <c r="X339">
        <v>5</v>
      </c>
      <c r="AB339" t="str">
        <f t="shared" si="5"/>
        <v>May</v>
      </c>
    </row>
    <row r="340" spans="1:28" x14ac:dyDescent="0.35">
      <c r="A340" t="s">
        <v>388</v>
      </c>
      <c r="B340">
        <v>83</v>
      </c>
      <c r="C340" t="s">
        <v>15</v>
      </c>
      <c r="D340" t="s">
        <v>50</v>
      </c>
      <c r="E340" t="s">
        <v>26</v>
      </c>
      <c r="F340" t="s">
        <v>36</v>
      </c>
      <c r="G340" s="1">
        <v>45870</v>
      </c>
      <c r="H340" s="1">
        <v>45874</v>
      </c>
      <c r="I340" s="4">
        <v>10835</v>
      </c>
      <c r="J340" t="s">
        <v>28</v>
      </c>
      <c r="K340" t="s">
        <v>29</v>
      </c>
      <c r="L340" t="s">
        <v>33</v>
      </c>
      <c r="M340" t="s">
        <v>22</v>
      </c>
      <c r="N340">
        <v>5</v>
      </c>
      <c r="X340">
        <v>8</v>
      </c>
      <c r="AB340" t="str">
        <f t="shared" si="5"/>
        <v>Aug</v>
      </c>
    </row>
    <row r="341" spans="1:28" x14ac:dyDescent="0.35">
      <c r="A341" t="s">
        <v>389</v>
      </c>
      <c r="B341">
        <v>34</v>
      </c>
      <c r="C341" t="s">
        <v>15</v>
      </c>
      <c r="D341" t="s">
        <v>31</v>
      </c>
      <c r="E341" t="s">
        <v>40</v>
      </c>
      <c r="F341" t="s">
        <v>36</v>
      </c>
      <c r="G341" s="1">
        <v>46014</v>
      </c>
      <c r="H341" s="1">
        <v>46016</v>
      </c>
      <c r="I341" s="4">
        <v>125891</v>
      </c>
      <c r="J341" t="s">
        <v>37</v>
      </c>
      <c r="K341" t="s">
        <v>63</v>
      </c>
      <c r="L341" t="s">
        <v>33</v>
      </c>
      <c r="M341" t="s">
        <v>22</v>
      </c>
      <c r="N341">
        <v>3</v>
      </c>
      <c r="X341">
        <v>12</v>
      </c>
      <c r="AB341" t="str">
        <f t="shared" si="5"/>
        <v>Dec</v>
      </c>
    </row>
    <row r="342" spans="1:28" x14ac:dyDescent="0.35">
      <c r="A342" t="s">
        <v>390</v>
      </c>
      <c r="B342">
        <v>52</v>
      </c>
      <c r="C342" t="s">
        <v>24</v>
      </c>
      <c r="D342" t="s">
        <v>58</v>
      </c>
      <c r="E342" t="s">
        <v>17</v>
      </c>
      <c r="F342" t="s">
        <v>41</v>
      </c>
      <c r="G342" s="1">
        <v>45992</v>
      </c>
      <c r="H342" s="1">
        <v>45999</v>
      </c>
      <c r="I342" s="4">
        <v>13275</v>
      </c>
      <c r="J342" t="s">
        <v>37</v>
      </c>
      <c r="K342" t="s">
        <v>42</v>
      </c>
      <c r="L342" t="s">
        <v>43</v>
      </c>
      <c r="M342" t="s">
        <v>22</v>
      </c>
      <c r="N342">
        <v>2</v>
      </c>
      <c r="X342">
        <v>12</v>
      </c>
      <c r="AB342" t="str">
        <f t="shared" si="5"/>
        <v>Dec</v>
      </c>
    </row>
    <row r="343" spans="1:28" x14ac:dyDescent="0.35">
      <c r="A343" t="s">
        <v>391</v>
      </c>
      <c r="B343">
        <v>61</v>
      </c>
      <c r="C343" t="s">
        <v>24</v>
      </c>
      <c r="D343" t="s">
        <v>31</v>
      </c>
      <c r="E343" t="s">
        <v>51</v>
      </c>
      <c r="F343" t="s">
        <v>36</v>
      </c>
      <c r="G343" s="1">
        <v>45548</v>
      </c>
      <c r="H343" s="1">
        <v>45553</v>
      </c>
      <c r="I343" s="4">
        <v>218676</v>
      </c>
      <c r="J343" t="s">
        <v>19</v>
      </c>
      <c r="K343" t="s">
        <v>29</v>
      </c>
      <c r="L343" t="s">
        <v>33</v>
      </c>
      <c r="M343" t="s">
        <v>22</v>
      </c>
      <c r="N343">
        <v>3</v>
      </c>
      <c r="X343">
        <v>9</v>
      </c>
      <c r="AB343" t="str">
        <f t="shared" si="5"/>
        <v>Sep</v>
      </c>
    </row>
    <row r="344" spans="1:28" x14ac:dyDescent="0.35">
      <c r="A344" t="s">
        <v>392</v>
      </c>
      <c r="B344">
        <v>54</v>
      </c>
      <c r="C344" t="s">
        <v>15</v>
      </c>
      <c r="D344" t="s">
        <v>45</v>
      </c>
      <c r="E344" t="s">
        <v>35</v>
      </c>
      <c r="F344" t="s">
        <v>41</v>
      </c>
      <c r="G344" s="1">
        <v>45718</v>
      </c>
      <c r="H344" s="1">
        <v>45735</v>
      </c>
      <c r="I344" s="4">
        <v>9197</v>
      </c>
      <c r="J344" t="s">
        <v>28</v>
      </c>
      <c r="K344" t="s">
        <v>42</v>
      </c>
      <c r="L344" t="s">
        <v>48</v>
      </c>
      <c r="M344" t="s">
        <v>64</v>
      </c>
      <c r="N344">
        <v>4</v>
      </c>
      <c r="X344">
        <v>3</v>
      </c>
      <c r="AB344" t="str">
        <f t="shared" si="5"/>
        <v>Mar</v>
      </c>
    </row>
    <row r="345" spans="1:28" x14ac:dyDescent="0.35">
      <c r="A345" t="s">
        <v>393</v>
      </c>
      <c r="B345">
        <v>22</v>
      </c>
      <c r="C345" t="s">
        <v>15</v>
      </c>
      <c r="D345" t="s">
        <v>58</v>
      </c>
      <c r="E345" t="s">
        <v>40</v>
      </c>
      <c r="F345" t="s">
        <v>56</v>
      </c>
      <c r="G345" s="1">
        <v>45561</v>
      </c>
      <c r="H345" s="1">
        <v>45576</v>
      </c>
      <c r="I345" s="4">
        <v>245726</v>
      </c>
      <c r="J345" t="s">
        <v>19</v>
      </c>
      <c r="K345" t="s">
        <v>42</v>
      </c>
      <c r="L345" t="s">
        <v>33</v>
      </c>
      <c r="M345" t="s">
        <v>38</v>
      </c>
      <c r="N345">
        <v>1</v>
      </c>
      <c r="X345">
        <v>9</v>
      </c>
      <c r="AB345" t="str">
        <f t="shared" si="5"/>
        <v>Sep</v>
      </c>
    </row>
    <row r="346" spans="1:28" x14ac:dyDescent="0.35">
      <c r="A346" t="s">
        <v>394</v>
      </c>
      <c r="B346">
        <v>34</v>
      </c>
      <c r="C346" t="s">
        <v>24</v>
      </c>
      <c r="D346" t="s">
        <v>31</v>
      </c>
      <c r="E346" t="s">
        <v>35</v>
      </c>
      <c r="F346" t="s">
        <v>18</v>
      </c>
      <c r="G346" s="1">
        <v>45316</v>
      </c>
      <c r="H346" s="1">
        <v>45327</v>
      </c>
      <c r="I346" s="4">
        <v>149552</v>
      </c>
      <c r="J346" t="s">
        <v>37</v>
      </c>
      <c r="K346" t="s">
        <v>42</v>
      </c>
      <c r="L346" t="s">
        <v>43</v>
      </c>
      <c r="M346" t="s">
        <v>22</v>
      </c>
      <c r="N346">
        <v>3</v>
      </c>
      <c r="X346">
        <v>1</v>
      </c>
      <c r="AB346" t="str">
        <f t="shared" si="5"/>
        <v>Jan</v>
      </c>
    </row>
    <row r="347" spans="1:28" x14ac:dyDescent="0.35">
      <c r="A347" t="s">
        <v>395</v>
      </c>
      <c r="B347">
        <v>70</v>
      </c>
      <c r="C347" t="s">
        <v>15</v>
      </c>
      <c r="D347" t="s">
        <v>16</v>
      </c>
      <c r="E347" t="s">
        <v>35</v>
      </c>
      <c r="F347" t="s">
        <v>27</v>
      </c>
      <c r="G347" s="1">
        <v>45813</v>
      </c>
      <c r="H347" s="1">
        <v>45823</v>
      </c>
      <c r="I347" s="4">
        <v>55227</v>
      </c>
      <c r="J347" t="s">
        <v>37</v>
      </c>
      <c r="K347" t="s">
        <v>20</v>
      </c>
      <c r="L347" t="s">
        <v>46</v>
      </c>
      <c r="M347" t="s">
        <v>64</v>
      </c>
      <c r="N347">
        <v>1</v>
      </c>
      <c r="X347">
        <v>6</v>
      </c>
      <c r="AB347" t="str">
        <f t="shared" si="5"/>
        <v>Jun</v>
      </c>
    </row>
    <row r="348" spans="1:28" x14ac:dyDescent="0.35">
      <c r="A348" t="s">
        <v>396</v>
      </c>
      <c r="B348">
        <v>78</v>
      </c>
      <c r="C348" t="s">
        <v>15</v>
      </c>
      <c r="D348" t="s">
        <v>53</v>
      </c>
      <c r="E348" t="s">
        <v>17</v>
      </c>
      <c r="F348" t="s">
        <v>36</v>
      </c>
      <c r="G348" s="1">
        <v>45354</v>
      </c>
      <c r="H348" s="1">
        <v>45372</v>
      </c>
      <c r="I348" s="4">
        <v>211021</v>
      </c>
      <c r="J348" t="s">
        <v>28</v>
      </c>
      <c r="K348" t="s">
        <v>42</v>
      </c>
      <c r="L348" t="s">
        <v>33</v>
      </c>
      <c r="M348" t="s">
        <v>64</v>
      </c>
      <c r="N348">
        <v>4</v>
      </c>
      <c r="X348">
        <v>3</v>
      </c>
      <c r="AB348" t="str">
        <f t="shared" si="5"/>
        <v>Mar</v>
      </c>
    </row>
    <row r="349" spans="1:28" x14ac:dyDescent="0.35">
      <c r="A349" t="s">
        <v>397</v>
      </c>
      <c r="B349">
        <v>41</v>
      </c>
      <c r="C349" t="s">
        <v>15</v>
      </c>
      <c r="D349" t="s">
        <v>53</v>
      </c>
      <c r="E349" t="s">
        <v>32</v>
      </c>
      <c r="F349" t="s">
        <v>41</v>
      </c>
      <c r="G349" s="1">
        <v>45304</v>
      </c>
      <c r="H349" s="1">
        <v>45324</v>
      </c>
      <c r="I349" s="4">
        <v>47640</v>
      </c>
      <c r="J349" t="s">
        <v>28</v>
      </c>
      <c r="K349" t="s">
        <v>63</v>
      </c>
      <c r="L349" t="s">
        <v>43</v>
      </c>
      <c r="M349" t="s">
        <v>38</v>
      </c>
      <c r="N349">
        <v>1</v>
      </c>
      <c r="X349">
        <v>1</v>
      </c>
      <c r="AB349" t="str">
        <f t="shared" si="5"/>
        <v>Jan</v>
      </c>
    </row>
    <row r="350" spans="1:28" x14ac:dyDescent="0.35">
      <c r="A350" t="s">
        <v>398</v>
      </c>
      <c r="B350">
        <v>34</v>
      </c>
      <c r="C350" t="s">
        <v>15</v>
      </c>
      <c r="D350" t="s">
        <v>31</v>
      </c>
      <c r="E350" t="s">
        <v>35</v>
      </c>
      <c r="F350" t="s">
        <v>36</v>
      </c>
      <c r="G350" s="1">
        <v>45464</v>
      </c>
      <c r="H350" s="1">
        <v>45472</v>
      </c>
      <c r="I350" s="4">
        <v>188598</v>
      </c>
      <c r="J350" t="s">
        <v>19</v>
      </c>
      <c r="K350" t="s">
        <v>29</v>
      </c>
      <c r="L350" t="s">
        <v>33</v>
      </c>
      <c r="M350" t="s">
        <v>38</v>
      </c>
      <c r="N350">
        <v>1</v>
      </c>
      <c r="X350">
        <v>6</v>
      </c>
      <c r="AB350" t="str">
        <f t="shared" si="5"/>
        <v>Jun</v>
      </c>
    </row>
    <row r="351" spans="1:28" x14ac:dyDescent="0.35">
      <c r="A351" t="s">
        <v>399</v>
      </c>
      <c r="B351">
        <v>60</v>
      </c>
      <c r="C351" t="s">
        <v>24</v>
      </c>
      <c r="D351" t="s">
        <v>31</v>
      </c>
      <c r="E351" t="s">
        <v>35</v>
      </c>
      <c r="F351" t="s">
        <v>36</v>
      </c>
      <c r="G351" s="1">
        <v>45978</v>
      </c>
      <c r="H351" s="1">
        <v>45994</v>
      </c>
      <c r="I351" s="4">
        <v>7579</v>
      </c>
      <c r="J351" t="s">
        <v>37</v>
      </c>
      <c r="K351" t="s">
        <v>63</v>
      </c>
      <c r="L351" t="s">
        <v>21</v>
      </c>
      <c r="M351" t="s">
        <v>64</v>
      </c>
      <c r="N351">
        <v>3</v>
      </c>
      <c r="X351">
        <v>11</v>
      </c>
      <c r="AB351" t="str">
        <f t="shared" si="5"/>
        <v>Nov</v>
      </c>
    </row>
    <row r="352" spans="1:28" x14ac:dyDescent="0.35">
      <c r="A352" t="s">
        <v>400</v>
      </c>
      <c r="B352">
        <v>24</v>
      </c>
      <c r="C352" t="s">
        <v>24</v>
      </c>
      <c r="D352" t="s">
        <v>50</v>
      </c>
      <c r="E352" t="s">
        <v>32</v>
      </c>
      <c r="F352" t="s">
        <v>18</v>
      </c>
      <c r="G352" s="1">
        <v>45597</v>
      </c>
      <c r="H352" s="1">
        <v>45607</v>
      </c>
      <c r="I352" s="4">
        <v>51996</v>
      </c>
      <c r="J352" t="s">
        <v>37</v>
      </c>
      <c r="K352" t="s">
        <v>42</v>
      </c>
      <c r="L352" t="s">
        <v>43</v>
      </c>
      <c r="M352" t="s">
        <v>22</v>
      </c>
      <c r="N352">
        <v>5</v>
      </c>
      <c r="X352">
        <v>11</v>
      </c>
      <c r="AB352" t="str">
        <f t="shared" si="5"/>
        <v>Nov</v>
      </c>
    </row>
    <row r="353" spans="1:28" x14ac:dyDescent="0.35">
      <c r="A353" t="s">
        <v>401</v>
      </c>
      <c r="B353">
        <v>63</v>
      </c>
      <c r="C353" t="s">
        <v>15</v>
      </c>
      <c r="D353" t="s">
        <v>25</v>
      </c>
      <c r="E353" t="s">
        <v>17</v>
      </c>
      <c r="F353" t="s">
        <v>41</v>
      </c>
      <c r="G353" s="1">
        <v>45611</v>
      </c>
      <c r="H353" s="1">
        <v>45620</v>
      </c>
      <c r="I353" s="4">
        <v>150913</v>
      </c>
      <c r="J353" t="s">
        <v>28</v>
      </c>
      <c r="K353" t="s">
        <v>63</v>
      </c>
      <c r="L353" t="s">
        <v>48</v>
      </c>
      <c r="M353" t="s">
        <v>38</v>
      </c>
      <c r="N353">
        <v>2</v>
      </c>
      <c r="X353">
        <v>11</v>
      </c>
      <c r="AB353" t="str">
        <f t="shared" si="5"/>
        <v>Nov</v>
      </c>
    </row>
    <row r="354" spans="1:28" x14ac:dyDescent="0.35">
      <c r="A354" t="s">
        <v>402</v>
      </c>
      <c r="B354">
        <v>69</v>
      </c>
      <c r="C354" t="s">
        <v>24</v>
      </c>
      <c r="D354" t="s">
        <v>53</v>
      </c>
      <c r="E354" t="s">
        <v>17</v>
      </c>
      <c r="F354" t="s">
        <v>27</v>
      </c>
      <c r="G354" s="1">
        <v>45347</v>
      </c>
      <c r="H354" s="1">
        <v>45359</v>
      </c>
      <c r="I354" s="4">
        <v>112515</v>
      </c>
      <c r="J354" t="s">
        <v>37</v>
      </c>
      <c r="K354" t="s">
        <v>42</v>
      </c>
      <c r="L354" t="s">
        <v>46</v>
      </c>
      <c r="M354" t="s">
        <v>38</v>
      </c>
      <c r="N354">
        <v>3</v>
      </c>
      <c r="X354">
        <v>2</v>
      </c>
      <c r="AB354" t="str">
        <f t="shared" si="5"/>
        <v>Feb</v>
      </c>
    </row>
    <row r="355" spans="1:28" x14ac:dyDescent="0.35">
      <c r="A355" t="s">
        <v>403</v>
      </c>
      <c r="B355">
        <v>48</v>
      </c>
      <c r="C355" t="s">
        <v>24</v>
      </c>
      <c r="D355" t="s">
        <v>50</v>
      </c>
      <c r="E355" t="s">
        <v>40</v>
      </c>
      <c r="F355" t="s">
        <v>41</v>
      </c>
      <c r="G355" s="1">
        <v>45800</v>
      </c>
      <c r="H355" s="1">
        <v>45802</v>
      </c>
      <c r="I355" s="4">
        <v>209686</v>
      </c>
      <c r="J355" t="s">
        <v>37</v>
      </c>
      <c r="K355" t="s">
        <v>20</v>
      </c>
      <c r="L355" t="s">
        <v>33</v>
      </c>
      <c r="M355" t="s">
        <v>38</v>
      </c>
      <c r="N355">
        <v>3</v>
      </c>
      <c r="X355">
        <v>5</v>
      </c>
      <c r="AB355" t="str">
        <f t="shared" si="5"/>
        <v>May</v>
      </c>
    </row>
    <row r="356" spans="1:28" x14ac:dyDescent="0.35">
      <c r="A356" t="s">
        <v>404</v>
      </c>
      <c r="B356">
        <v>79</v>
      </c>
      <c r="C356" t="s">
        <v>24</v>
      </c>
      <c r="D356" t="s">
        <v>53</v>
      </c>
      <c r="E356" t="s">
        <v>26</v>
      </c>
      <c r="F356" t="s">
        <v>56</v>
      </c>
      <c r="G356" s="1">
        <v>45808</v>
      </c>
      <c r="H356" s="1">
        <v>45809</v>
      </c>
      <c r="I356" s="4">
        <v>104658</v>
      </c>
      <c r="J356" t="s">
        <v>28</v>
      </c>
      <c r="K356" t="s">
        <v>20</v>
      </c>
      <c r="L356" t="s">
        <v>33</v>
      </c>
      <c r="M356" t="s">
        <v>64</v>
      </c>
      <c r="N356">
        <v>5</v>
      </c>
      <c r="X356">
        <v>5</v>
      </c>
      <c r="AB356" t="str">
        <f t="shared" si="5"/>
        <v>May</v>
      </c>
    </row>
    <row r="357" spans="1:28" x14ac:dyDescent="0.35">
      <c r="A357" t="s">
        <v>405</v>
      </c>
      <c r="B357">
        <v>84</v>
      </c>
      <c r="C357" t="s">
        <v>15</v>
      </c>
      <c r="D357" t="s">
        <v>31</v>
      </c>
      <c r="E357" t="s">
        <v>40</v>
      </c>
      <c r="F357" t="s">
        <v>36</v>
      </c>
      <c r="G357" s="1">
        <v>45587</v>
      </c>
      <c r="H357" s="1">
        <v>45591</v>
      </c>
      <c r="I357" s="4">
        <v>233294</v>
      </c>
      <c r="J357" t="s">
        <v>61</v>
      </c>
      <c r="K357" t="s">
        <v>29</v>
      </c>
      <c r="L357" t="s">
        <v>48</v>
      </c>
      <c r="M357" t="s">
        <v>38</v>
      </c>
      <c r="N357">
        <v>4</v>
      </c>
      <c r="X357">
        <v>10</v>
      </c>
      <c r="AB357" t="str">
        <f t="shared" si="5"/>
        <v>Oct</v>
      </c>
    </row>
    <row r="358" spans="1:28" x14ac:dyDescent="0.35">
      <c r="A358" t="s">
        <v>406</v>
      </c>
      <c r="B358">
        <v>63</v>
      </c>
      <c r="C358" t="s">
        <v>24</v>
      </c>
      <c r="D358" t="s">
        <v>31</v>
      </c>
      <c r="E358" t="s">
        <v>32</v>
      </c>
      <c r="F358" t="s">
        <v>56</v>
      </c>
      <c r="G358" s="1">
        <v>45450</v>
      </c>
      <c r="H358" s="1">
        <v>45465</v>
      </c>
      <c r="I358" s="4">
        <v>85002</v>
      </c>
      <c r="J358" t="s">
        <v>37</v>
      </c>
      <c r="K358" t="s">
        <v>29</v>
      </c>
      <c r="L358" t="s">
        <v>46</v>
      </c>
      <c r="M358" t="s">
        <v>64</v>
      </c>
      <c r="N358">
        <v>5</v>
      </c>
      <c r="X358">
        <v>6</v>
      </c>
      <c r="AB358" t="str">
        <f t="shared" si="5"/>
        <v>Jun</v>
      </c>
    </row>
    <row r="359" spans="1:28" x14ac:dyDescent="0.35">
      <c r="A359" t="s">
        <v>407</v>
      </c>
      <c r="B359">
        <v>52</v>
      </c>
      <c r="C359" t="s">
        <v>15</v>
      </c>
      <c r="D359" t="s">
        <v>53</v>
      </c>
      <c r="E359" t="s">
        <v>35</v>
      </c>
      <c r="F359" t="s">
        <v>56</v>
      </c>
      <c r="G359" s="1">
        <v>45927</v>
      </c>
      <c r="H359" s="1">
        <v>45936</v>
      </c>
      <c r="I359" s="4">
        <v>11924</v>
      </c>
      <c r="J359" t="s">
        <v>37</v>
      </c>
      <c r="K359" t="s">
        <v>63</v>
      </c>
      <c r="L359" t="s">
        <v>21</v>
      </c>
      <c r="M359" t="s">
        <v>64</v>
      </c>
      <c r="N359">
        <v>4</v>
      </c>
      <c r="X359">
        <v>9</v>
      </c>
      <c r="AB359" t="str">
        <f t="shared" si="5"/>
        <v>Sep</v>
      </c>
    </row>
    <row r="360" spans="1:28" x14ac:dyDescent="0.35">
      <c r="A360" t="s">
        <v>408</v>
      </c>
      <c r="B360">
        <v>23</v>
      </c>
      <c r="C360" t="s">
        <v>24</v>
      </c>
      <c r="D360" t="s">
        <v>25</v>
      </c>
      <c r="E360" t="s">
        <v>51</v>
      </c>
      <c r="F360" t="s">
        <v>27</v>
      </c>
      <c r="G360" s="1">
        <v>45301</v>
      </c>
      <c r="H360" s="1">
        <v>45313</v>
      </c>
      <c r="I360" s="4">
        <v>146084</v>
      </c>
      <c r="J360" t="s">
        <v>28</v>
      </c>
      <c r="K360" t="s">
        <v>20</v>
      </c>
      <c r="L360" t="s">
        <v>43</v>
      </c>
      <c r="M360" t="s">
        <v>64</v>
      </c>
      <c r="N360">
        <v>3</v>
      </c>
      <c r="X360">
        <v>1</v>
      </c>
      <c r="AB360" t="str">
        <f t="shared" si="5"/>
        <v>Jan</v>
      </c>
    </row>
    <row r="361" spans="1:28" x14ac:dyDescent="0.35">
      <c r="A361" t="s">
        <v>409</v>
      </c>
      <c r="B361">
        <v>53</v>
      </c>
      <c r="C361" t="s">
        <v>15</v>
      </c>
      <c r="D361" t="s">
        <v>31</v>
      </c>
      <c r="E361" t="s">
        <v>26</v>
      </c>
      <c r="F361" t="s">
        <v>18</v>
      </c>
      <c r="G361" s="1">
        <v>45920</v>
      </c>
      <c r="H361" s="1">
        <v>45932</v>
      </c>
      <c r="I361" s="4">
        <v>134687</v>
      </c>
      <c r="J361" t="s">
        <v>28</v>
      </c>
      <c r="K361" t="s">
        <v>63</v>
      </c>
      <c r="L361" t="s">
        <v>33</v>
      </c>
      <c r="M361" t="s">
        <v>38</v>
      </c>
      <c r="N361">
        <v>4</v>
      </c>
      <c r="X361">
        <v>9</v>
      </c>
      <c r="AB361" t="str">
        <f t="shared" si="5"/>
        <v>Sep</v>
      </c>
    </row>
    <row r="362" spans="1:28" x14ac:dyDescent="0.35">
      <c r="A362" t="s">
        <v>410</v>
      </c>
      <c r="B362">
        <v>46</v>
      </c>
      <c r="C362" t="s">
        <v>24</v>
      </c>
      <c r="D362" t="s">
        <v>31</v>
      </c>
      <c r="E362" t="s">
        <v>26</v>
      </c>
      <c r="F362" t="s">
        <v>41</v>
      </c>
      <c r="G362" s="1">
        <v>45971</v>
      </c>
      <c r="H362" s="1">
        <v>45977</v>
      </c>
      <c r="I362" s="4">
        <v>94141</v>
      </c>
      <c r="J362" t="s">
        <v>61</v>
      </c>
      <c r="K362" t="s">
        <v>20</v>
      </c>
      <c r="L362" t="s">
        <v>33</v>
      </c>
      <c r="M362" t="s">
        <v>64</v>
      </c>
      <c r="N362">
        <v>2</v>
      </c>
      <c r="X362">
        <v>11</v>
      </c>
      <c r="AB362" t="str">
        <f t="shared" si="5"/>
        <v>Nov</v>
      </c>
    </row>
    <row r="363" spans="1:28" x14ac:dyDescent="0.35">
      <c r="A363" t="s">
        <v>411</v>
      </c>
      <c r="B363">
        <v>25</v>
      </c>
      <c r="C363" t="s">
        <v>24</v>
      </c>
      <c r="D363" t="s">
        <v>31</v>
      </c>
      <c r="E363" t="s">
        <v>17</v>
      </c>
      <c r="F363" t="s">
        <v>27</v>
      </c>
      <c r="G363" s="1">
        <v>45758</v>
      </c>
      <c r="H363" s="1">
        <v>45769</v>
      </c>
      <c r="I363" s="4">
        <v>15695</v>
      </c>
      <c r="J363" t="s">
        <v>37</v>
      </c>
      <c r="K363" t="s">
        <v>20</v>
      </c>
      <c r="L363" t="s">
        <v>48</v>
      </c>
      <c r="M363" t="s">
        <v>38</v>
      </c>
      <c r="N363">
        <v>3</v>
      </c>
      <c r="X363">
        <v>4</v>
      </c>
      <c r="AB363" t="str">
        <f t="shared" si="5"/>
        <v>Apr</v>
      </c>
    </row>
    <row r="364" spans="1:28" x14ac:dyDescent="0.35">
      <c r="A364" t="s">
        <v>412</v>
      </c>
      <c r="B364">
        <v>30</v>
      </c>
      <c r="C364" t="s">
        <v>15</v>
      </c>
      <c r="D364" t="s">
        <v>50</v>
      </c>
      <c r="E364" t="s">
        <v>26</v>
      </c>
      <c r="F364" t="s">
        <v>27</v>
      </c>
      <c r="G364" s="1">
        <v>45676</v>
      </c>
      <c r="H364" s="1">
        <v>45682</v>
      </c>
      <c r="I364" s="4">
        <v>26973</v>
      </c>
      <c r="J364" t="s">
        <v>28</v>
      </c>
      <c r="K364" t="s">
        <v>63</v>
      </c>
      <c r="L364" t="s">
        <v>43</v>
      </c>
      <c r="M364" t="s">
        <v>38</v>
      </c>
      <c r="N364">
        <v>3</v>
      </c>
      <c r="X364">
        <v>1</v>
      </c>
      <c r="AB364" t="str">
        <f t="shared" si="5"/>
        <v>Jan</v>
      </c>
    </row>
    <row r="365" spans="1:28" x14ac:dyDescent="0.35">
      <c r="A365" t="s">
        <v>413</v>
      </c>
      <c r="B365">
        <v>24</v>
      </c>
      <c r="C365" t="s">
        <v>24</v>
      </c>
      <c r="D365" t="s">
        <v>25</v>
      </c>
      <c r="E365" t="s">
        <v>17</v>
      </c>
      <c r="F365" t="s">
        <v>27</v>
      </c>
      <c r="G365" s="1">
        <v>45332</v>
      </c>
      <c r="H365" s="1">
        <v>45352</v>
      </c>
      <c r="I365" s="4">
        <v>238947</v>
      </c>
      <c r="J365" t="s">
        <v>19</v>
      </c>
      <c r="K365" t="s">
        <v>63</v>
      </c>
      <c r="L365" t="s">
        <v>33</v>
      </c>
      <c r="M365" t="s">
        <v>64</v>
      </c>
      <c r="N365">
        <v>5</v>
      </c>
      <c r="X365">
        <v>2</v>
      </c>
      <c r="AB365" t="str">
        <f t="shared" si="5"/>
        <v>Feb</v>
      </c>
    </row>
    <row r="366" spans="1:28" x14ac:dyDescent="0.35">
      <c r="A366" t="s">
        <v>414</v>
      </c>
      <c r="B366">
        <v>36</v>
      </c>
      <c r="C366" t="s">
        <v>24</v>
      </c>
      <c r="D366" t="s">
        <v>53</v>
      </c>
      <c r="E366" t="s">
        <v>26</v>
      </c>
      <c r="F366" t="s">
        <v>18</v>
      </c>
      <c r="G366" s="1">
        <v>45502</v>
      </c>
      <c r="H366" s="1">
        <v>45505</v>
      </c>
      <c r="I366" s="4">
        <v>79997</v>
      </c>
      <c r="J366" t="s">
        <v>61</v>
      </c>
      <c r="K366" t="s">
        <v>20</v>
      </c>
      <c r="L366" t="s">
        <v>33</v>
      </c>
      <c r="M366" t="s">
        <v>22</v>
      </c>
      <c r="N366">
        <v>3</v>
      </c>
      <c r="X366">
        <v>7</v>
      </c>
      <c r="AB366" t="str">
        <f t="shared" si="5"/>
        <v>Jul</v>
      </c>
    </row>
    <row r="367" spans="1:28" x14ac:dyDescent="0.35">
      <c r="A367" t="s">
        <v>415</v>
      </c>
      <c r="B367">
        <v>34</v>
      </c>
      <c r="C367" t="s">
        <v>24</v>
      </c>
      <c r="D367" t="s">
        <v>16</v>
      </c>
      <c r="E367" t="s">
        <v>35</v>
      </c>
      <c r="F367" t="s">
        <v>27</v>
      </c>
      <c r="G367" s="1">
        <v>45428</v>
      </c>
      <c r="H367" s="1">
        <v>45443</v>
      </c>
      <c r="I367" s="4">
        <v>35703</v>
      </c>
      <c r="J367" t="s">
        <v>19</v>
      </c>
      <c r="K367" t="s">
        <v>20</v>
      </c>
      <c r="L367" t="s">
        <v>21</v>
      </c>
      <c r="M367" t="s">
        <v>22</v>
      </c>
      <c r="N367">
        <v>4</v>
      </c>
      <c r="X367">
        <v>5</v>
      </c>
      <c r="AB367" t="str">
        <f t="shared" si="5"/>
        <v>May</v>
      </c>
    </row>
    <row r="368" spans="1:28" x14ac:dyDescent="0.35">
      <c r="A368" t="s">
        <v>416</v>
      </c>
      <c r="B368">
        <v>41</v>
      </c>
      <c r="C368" t="s">
        <v>24</v>
      </c>
      <c r="D368" t="s">
        <v>50</v>
      </c>
      <c r="E368" t="s">
        <v>32</v>
      </c>
      <c r="F368" t="s">
        <v>18</v>
      </c>
      <c r="G368" s="1">
        <v>45479</v>
      </c>
      <c r="H368" s="1">
        <v>45488</v>
      </c>
      <c r="I368" s="4">
        <v>47032</v>
      </c>
      <c r="J368" t="s">
        <v>19</v>
      </c>
      <c r="K368" t="s">
        <v>29</v>
      </c>
      <c r="L368" t="s">
        <v>21</v>
      </c>
      <c r="M368" t="s">
        <v>64</v>
      </c>
      <c r="N368">
        <v>2</v>
      </c>
      <c r="X368">
        <v>7</v>
      </c>
      <c r="AB368" t="str">
        <f t="shared" si="5"/>
        <v>Jul</v>
      </c>
    </row>
    <row r="369" spans="1:28" x14ac:dyDescent="0.35">
      <c r="A369" t="s">
        <v>417</v>
      </c>
      <c r="B369">
        <v>73</v>
      </c>
      <c r="C369" t="s">
        <v>24</v>
      </c>
      <c r="D369" t="s">
        <v>53</v>
      </c>
      <c r="E369" t="s">
        <v>35</v>
      </c>
      <c r="F369" t="s">
        <v>56</v>
      </c>
      <c r="G369" s="1">
        <v>45403</v>
      </c>
      <c r="H369" s="1">
        <v>45406</v>
      </c>
      <c r="I369" s="4">
        <v>231978</v>
      </c>
      <c r="J369" t="s">
        <v>61</v>
      </c>
      <c r="K369" t="s">
        <v>42</v>
      </c>
      <c r="L369" t="s">
        <v>21</v>
      </c>
      <c r="M369" t="s">
        <v>64</v>
      </c>
      <c r="N369">
        <v>4</v>
      </c>
      <c r="X369">
        <v>4</v>
      </c>
      <c r="AB369" t="str">
        <f t="shared" si="5"/>
        <v>Apr</v>
      </c>
    </row>
    <row r="370" spans="1:28" x14ac:dyDescent="0.35">
      <c r="A370" t="s">
        <v>418</v>
      </c>
      <c r="B370">
        <v>66</v>
      </c>
      <c r="C370" t="s">
        <v>15</v>
      </c>
      <c r="D370" t="s">
        <v>45</v>
      </c>
      <c r="E370" t="s">
        <v>35</v>
      </c>
      <c r="F370" t="s">
        <v>41</v>
      </c>
      <c r="G370" s="1">
        <v>45814</v>
      </c>
      <c r="H370" s="1">
        <v>45816</v>
      </c>
      <c r="I370" s="4">
        <v>181309</v>
      </c>
      <c r="J370" t="s">
        <v>61</v>
      </c>
      <c r="K370" t="s">
        <v>29</v>
      </c>
      <c r="L370" t="s">
        <v>21</v>
      </c>
      <c r="M370" t="s">
        <v>22</v>
      </c>
      <c r="N370">
        <v>5</v>
      </c>
      <c r="X370">
        <v>6</v>
      </c>
      <c r="AB370" t="str">
        <f t="shared" si="5"/>
        <v>Jun</v>
      </c>
    </row>
    <row r="371" spans="1:28" x14ac:dyDescent="0.35">
      <c r="A371" t="s">
        <v>419</v>
      </c>
      <c r="B371">
        <v>74</v>
      </c>
      <c r="C371" t="s">
        <v>24</v>
      </c>
      <c r="D371" t="s">
        <v>45</v>
      </c>
      <c r="E371" t="s">
        <v>35</v>
      </c>
      <c r="F371" t="s">
        <v>18</v>
      </c>
      <c r="G371" s="1">
        <v>45306</v>
      </c>
      <c r="H371" s="1">
        <v>45315</v>
      </c>
      <c r="I371" s="4">
        <v>58995</v>
      </c>
      <c r="J371" t="s">
        <v>61</v>
      </c>
      <c r="K371" t="s">
        <v>20</v>
      </c>
      <c r="L371" t="s">
        <v>46</v>
      </c>
      <c r="M371" t="s">
        <v>22</v>
      </c>
      <c r="N371">
        <v>2</v>
      </c>
      <c r="X371">
        <v>1</v>
      </c>
      <c r="AB371" t="str">
        <f t="shared" si="5"/>
        <v>Jan</v>
      </c>
    </row>
    <row r="372" spans="1:28" x14ac:dyDescent="0.35">
      <c r="A372" t="s">
        <v>420</v>
      </c>
      <c r="B372">
        <v>73</v>
      </c>
      <c r="C372" t="s">
        <v>24</v>
      </c>
      <c r="D372" t="s">
        <v>31</v>
      </c>
      <c r="E372" t="s">
        <v>26</v>
      </c>
      <c r="F372" t="s">
        <v>27</v>
      </c>
      <c r="G372" s="1">
        <v>45430</v>
      </c>
      <c r="H372" s="1">
        <v>45446</v>
      </c>
      <c r="I372" s="4">
        <v>42592</v>
      </c>
      <c r="J372" t="s">
        <v>37</v>
      </c>
      <c r="K372" t="s">
        <v>20</v>
      </c>
      <c r="L372" t="s">
        <v>48</v>
      </c>
      <c r="M372" t="s">
        <v>64</v>
      </c>
      <c r="N372">
        <v>4</v>
      </c>
      <c r="X372">
        <v>5</v>
      </c>
      <c r="AB372" t="str">
        <f t="shared" si="5"/>
        <v>May</v>
      </c>
    </row>
    <row r="373" spans="1:28" x14ac:dyDescent="0.35">
      <c r="A373" t="s">
        <v>421</v>
      </c>
      <c r="B373">
        <v>47</v>
      </c>
      <c r="C373" t="s">
        <v>24</v>
      </c>
      <c r="D373" t="s">
        <v>53</v>
      </c>
      <c r="E373" t="s">
        <v>40</v>
      </c>
      <c r="F373" t="s">
        <v>36</v>
      </c>
      <c r="G373" s="1">
        <v>45344</v>
      </c>
      <c r="H373" s="1">
        <v>45364</v>
      </c>
      <c r="I373" s="4">
        <v>186335</v>
      </c>
      <c r="J373" t="s">
        <v>37</v>
      </c>
      <c r="K373" t="s">
        <v>29</v>
      </c>
      <c r="L373" t="s">
        <v>48</v>
      </c>
      <c r="M373" t="s">
        <v>64</v>
      </c>
      <c r="N373">
        <v>1</v>
      </c>
      <c r="X373">
        <v>2</v>
      </c>
      <c r="AB373" t="str">
        <f t="shared" si="5"/>
        <v>Feb</v>
      </c>
    </row>
    <row r="374" spans="1:28" x14ac:dyDescent="0.35">
      <c r="A374" t="s">
        <v>422</v>
      </c>
      <c r="B374">
        <v>24</v>
      </c>
      <c r="C374" t="s">
        <v>24</v>
      </c>
      <c r="D374" t="s">
        <v>45</v>
      </c>
      <c r="E374" t="s">
        <v>35</v>
      </c>
      <c r="F374" t="s">
        <v>18</v>
      </c>
      <c r="G374" s="1">
        <v>45740</v>
      </c>
      <c r="H374" s="1">
        <v>45749</v>
      </c>
      <c r="I374" s="4">
        <v>161605</v>
      </c>
      <c r="J374" t="s">
        <v>61</v>
      </c>
      <c r="K374" t="s">
        <v>42</v>
      </c>
      <c r="L374" t="s">
        <v>21</v>
      </c>
      <c r="M374" t="s">
        <v>38</v>
      </c>
      <c r="N374">
        <v>2</v>
      </c>
      <c r="X374">
        <v>3</v>
      </c>
      <c r="AB374" t="str">
        <f t="shared" si="5"/>
        <v>Mar</v>
      </c>
    </row>
    <row r="375" spans="1:28" x14ac:dyDescent="0.35">
      <c r="A375" t="s">
        <v>423</v>
      </c>
      <c r="B375">
        <v>30</v>
      </c>
      <c r="C375" t="s">
        <v>15</v>
      </c>
      <c r="D375" t="s">
        <v>16</v>
      </c>
      <c r="E375" t="s">
        <v>51</v>
      </c>
      <c r="F375" t="s">
        <v>56</v>
      </c>
      <c r="G375" s="1">
        <v>45342</v>
      </c>
      <c r="H375" s="1">
        <v>45361</v>
      </c>
      <c r="I375" s="4">
        <v>65037</v>
      </c>
      <c r="J375" t="s">
        <v>19</v>
      </c>
      <c r="K375" t="s">
        <v>29</v>
      </c>
      <c r="L375" t="s">
        <v>21</v>
      </c>
      <c r="M375" t="s">
        <v>64</v>
      </c>
      <c r="N375">
        <v>5</v>
      </c>
      <c r="X375">
        <v>2</v>
      </c>
      <c r="AB375" t="str">
        <f t="shared" si="5"/>
        <v>Feb</v>
      </c>
    </row>
    <row r="376" spans="1:28" x14ac:dyDescent="0.35">
      <c r="A376" t="s">
        <v>424</v>
      </c>
      <c r="B376">
        <v>51</v>
      </c>
      <c r="C376" t="s">
        <v>15</v>
      </c>
      <c r="D376" t="s">
        <v>50</v>
      </c>
      <c r="E376" t="s">
        <v>32</v>
      </c>
      <c r="F376" t="s">
        <v>41</v>
      </c>
      <c r="G376" s="1">
        <v>45348</v>
      </c>
      <c r="H376" s="1">
        <v>45355</v>
      </c>
      <c r="I376" s="4">
        <v>82298</v>
      </c>
      <c r="J376" t="s">
        <v>19</v>
      </c>
      <c r="K376" t="s">
        <v>29</v>
      </c>
      <c r="L376" t="s">
        <v>33</v>
      </c>
      <c r="M376" t="s">
        <v>38</v>
      </c>
      <c r="N376">
        <v>4</v>
      </c>
      <c r="X376">
        <v>2</v>
      </c>
      <c r="AB376" t="str">
        <f t="shared" si="5"/>
        <v>Feb</v>
      </c>
    </row>
    <row r="377" spans="1:28" x14ac:dyDescent="0.35">
      <c r="A377" t="s">
        <v>425</v>
      </c>
      <c r="B377">
        <v>73</v>
      </c>
      <c r="C377" t="s">
        <v>15</v>
      </c>
      <c r="D377" t="s">
        <v>31</v>
      </c>
      <c r="E377" t="s">
        <v>35</v>
      </c>
      <c r="F377" t="s">
        <v>36</v>
      </c>
      <c r="G377" s="1">
        <v>45868</v>
      </c>
      <c r="H377" s="1">
        <v>45887</v>
      </c>
      <c r="I377" s="4">
        <v>123563</v>
      </c>
      <c r="J377" t="s">
        <v>19</v>
      </c>
      <c r="K377" t="s">
        <v>42</v>
      </c>
      <c r="L377" t="s">
        <v>21</v>
      </c>
      <c r="M377" t="s">
        <v>38</v>
      </c>
      <c r="N377">
        <v>2</v>
      </c>
      <c r="X377">
        <v>7</v>
      </c>
      <c r="AB377" t="str">
        <f t="shared" si="5"/>
        <v>Jul</v>
      </c>
    </row>
    <row r="378" spans="1:28" x14ac:dyDescent="0.35">
      <c r="A378" t="s">
        <v>426</v>
      </c>
      <c r="B378">
        <v>79</v>
      </c>
      <c r="C378" t="s">
        <v>24</v>
      </c>
      <c r="D378" t="s">
        <v>25</v>
      </c>
      <c r="E378" t="s">
        <v>17</v>
      </c>
      <c r="F378" t="s">
        <v>56</v>
      </c>
      <c r="G378" s="1">
        <v>45445</v>
      </c>
      <c r="H378" s="1">
        <v>45451</v>
      </c>
      <c r="I378" s="4">
        <v>150242</v>
      </c>
      <c r="J378" t="s">
        <v>61</v>
      </c>
      <c r="K378" t="s">
        <v>20</v>
      </c>
      <c r="L378" t="s">
        <v>46</v>
      </c>
      <c r="M378" t="s">
        <v>22</v>
      </c>
      <c r="N378">
        <v>4</v>
      </c>
      <c r="X378">
        <v>6</v>
      </c>
      <c r="AB378" t="str">
        <f t="shared" si="5"/>
        <v>Jun</v>
      </c>
    </row>
    <row r="379" spans="1:28" x14ac:dyDescent="0.35">
      <c r="A379" t="s">
        <v>427</v>
      </c>
      <c r="B379">
        <v>72</v>
      </c>
      <c r="C379" t="s">
        <v>24</v>
      </c>
      <c r="D379" t="s">
        <v>58</v>
      </c>
      <c r="E379" t="s">
        <v>32</v>
      </c>
      <c r="F379" t="s">
        <v>36</v>
      </c>
      <c r="G379" s="1">
        <v>45819</v>
      </c>
      <c r="H379" s="1">
        <v>45822</v>
      </c>
      <c r="I379" s="4">
        <v>90839</v>
      </c>
      <c r="J379" t="s">
        <v>37</v>
      </c>
      <c r="K379" t="s">
        <v>42</v>
      </c>
      <c r="L379" t="s">
        <v>46</v>
      </c>
      <c r="M379" t="s">
        <v>64</v>
      </c>
      <c r="N379">
        <v>2</v>
      </c>
      <c r="X379">
        <v>6</v>
      </c>
      <c r="AB379" t="str">
        <f t="shared" si="5"/>
        <v>Jun</v>
      </c>
    </row>
    <row r="380" spans="1:28" x14ac:dyDescent="0.35">
      <c r="A380" t="s">
        <v>428</v>
      </c>
      <c r="B380">
        <v>29</v>
      </c>
      <c r="C380" t="s">
        <v>15</v>
      </c>
      <c r="D380" t="s">
        <v>16</v>
      </c>
      <c r="E380" t="s">
        <v>51</v>
      </c>
      <c r="F380" t="s">
        <v>36</v>
      </c>
      <c r="G380" s="1">
        <v>45752</v>
      </c>
      <c r="H380" s="1">
        <v>45767</v>
      </c>
      <c r="I380" s="4">
        <v>188240</v>
      </c>
      <c r="J380" t="s">
        <v>37</v>
      </c>
      <c r="K380" t="s">
        <v>63</v>
      </c>
      <c r="L380" t="s">
        <v>48</v>
      </c>
      <c r="M380" t="s">
        <v>22</v>
      </c>
      <c r="N380">
        <v>5</v>
      </c>
      <c r="X380">
        <v>4</v>
      </c>
      <c r="AB380" t="str">
        <f t="shared" si="5"/>
        <v>Apr</v>
      </c>
    </row>
    <row r="381" spans="1:28" x14ac:dyDescent="0.35">
      <c r="A381" t="s">
        <v>429</v>
      </c>
      <c r="B381">
        <v>54</v>
      </c>
      <c r="C381" t="s">
        <v>15</v>
      </c>
      <c r="D381" t="s">
        <v>53</v>
      </c>
      <c r="E381" t="s">
        <v>35</v>
      </c>
      <c r="F381" t="s">
        <v>36</v>
      </c>
      <c r="G381" s="1">
        <v>45702</v>
      </c>
      <c r="H381" s="1">
        <v>45712</v>
      </c>
      <c r="I381" s="4">
        <v>230199</v>
      </c>
      <c r="J381" t="s">
        <v>28</v>
      </c>
      <c r="K381" t="s">
        <v>29</v>
      </c>
      <c r="L381" t="s">
        <v>46</v>
      </c>
      <c r="M381" t="s">
        <v>22</v>
      </c>
      <c r="N381">
        <v>5</v>
      </c>
      <c r="X381">
        <v>2</v>
      </c>
      <c r="AB381" t="str">
        <f t="shared" si="5"/>
        <v>Feb</v>
      </c>
    </row>
    <row r="382" spans="1:28" x14ac:dyDescent="0.35">
      <c r="A382" t="s">
        <v>430</v>
      </c>
      <c r="B382">
        <v>29</v>
      </c>
      <c r="C382" t="s">
        <v>24</v>
      </c>
      <c r="D382" t="s">
        <v>45</v>
      </c>
      <c r="E382" t="s">
        <v>40</v>
      </c>
      <c r="F382" t="s">
        <v>27</v>
      </c>
      <c r="G382" s="1">
        <v>45793</v>
      </c>
      <c r="H382" s="1">
        <v>45802</v>
      </c>
      <c r="I382" s="4">
        <v>47197</v>
      </c>
      <c r="J382" t="s">
        <v>61</v>
      </c>
      <c r="K382" t="s">
        <v>20</v>
      </c>
      <c r="L382" t="s">
        <v>43</v>
      </c>
      <c r="M382" t="s">
        <v>64</v>
      </c>
      <c r="N382">
        <v>4</v>
      </c>
      <c r="X382">
        <v>5</v>
      </c>
      <c r="AB382" t="str">
        <f t="shared" si="5"/>
        <v>May</v>
      </c>
    </row>
    <row r="383" spans="1:28" x14ac:dyDescent="0.35">
      <c r="A383" t="s">
        <v>431</v>
      </c>
      <c r="B383">
        <v>30</v>
      </c>
      <c r="C383" t="s">
        <v>24</v>
      </c>
      <c r="D383" t="s">
        <v>25</v>
      </c>
      <c r="E383" t="s">
        <v>17</v>
      </c>
      <c r="F383" t="s">
        <v>18</v>
      </c>
      <c r="G383" s="1">
        <v>45439</v>
      </c>
      <c r="H383" s="1">
        <v>45454</v>
      </c>
      <c r="I383" s="4">
        <v>97393</v>
      </c>
      <c r="J383" t="s">
        <v>37</v>
      </c>
      <c r="K383" t="s">
        <v>63</v>
      </c>
      <c r="L383" t="s">
        <v>33</v>
      </c>
      <c r="M383" t="s">
        <v>38</v>
      </c>
      <c r="N383">
        <v>3</v>
      </c>
      <c r="X383">
        <v>5</v>
      </c>
      <c r="AB383" t="str">
        <f t="shared" si="5"/>
        <v>May</v>
      </c>
    </row>
    <row r="384" spans="1:28" x14ac:dyDescent="0.35">
      <c r="A384" t="s">
        <v>432</v>
      </c>
      <c r="B384">
        <v>24</v>
      </c>
      <c r="C384" t="s">
        <v>24</v>
      </c>
      <c r="D384" t="s">
        <v>25</v>
      </c>
      <c r="E384" t="s">
        <v>51</v>
      </c>
      <c r="F384" t="s">
        <v>56</v>
      </c>
      <c r="G384" s="1">
        <v>45404</v>
      </c>
      <c r="H384" s="1">
        <v>45424</v>
      </c>
      <c r="I384" s="4">
        <v>157210</v>
      </c>
      <c r="J384" t="s">
        <v>19</v>
      </c>
      <c r="K384" t="s">
        <v>42</v>
      </c>
      <c r="L384" t="s">
        <v>21</v>
      </c>
      <c r="M384" t="s">
        <v>22</v>
      </c>
      <c r="N384">
        <v>3</v>
      </c>
      <c r="X384">
        <v>4</v>
      </c>
      <c r="AB384" t="str">
        <f t="shared" si="5"/>
        <v>Apr</v>
      </c>
    </row>
    <row r="385" spans="1:28" x14ac:dyDescent="0.35">
      <c r="A385" t="s">
        <v>433</v>
      </c>
      <c r="B385">
        <v>31</v>
      </c>
      <c r="C385" t="s">
        <v>24</v>
      </c>
      <c r="D385" t="s">
        <v>16</v>
      </c>
      <c r="E385" t="s">
        <v>32</v>
      </c>
      <c r="F385" t="s">
        <v>27</v>
      </c>
      <c r="G385" s="1">
        <v>45906</v>
      </c>
      <c r="H385" s="1">
        <v>45913</v>
      </c>
      <c r="I385" s="4">
        <v>116718</v>
      </c>
      <c r="J385" t="s">
        <v>61</v>
      </c>
      <c r="K385" t="s">
        <v>20</v>
      </c>
      <c r="L385" t="s">
        <v>46</v>
      </c>
      <c r="M385" t="s">
        <v>38</v>
      </c>
      <c r="N385">
        <v>5</v>
      </c>
      <c r="X385">
        <v>9</v>
      </c>
      <c r="AB385" t="str">
        <f t="shared" si="5"/>
        <v>Sep</v>
      </c>
    </row>
    <row r="386" spans="1:28" x14ac:dyDescent="0.35">
      <c r="A386" t="s">
        <v>434</v>
      </c>
      <c r="B386">
        <v>33</v>
      </c>
      <c r="C386" t="s">
        <v>24</v>
      </c>
      <c r="D386" t="s">
        <v>53</v>
      </c>
      <c r="E386" t="s">
        <v>35</v>
      </c>
      <c r="F386" t="s">
        <v>41</v>
      </c>
      <c r="G386" s="1">
        <v>45669</v>
      </c>
      <c r="H386" s="1">
        <v>45677</v>
      </c>
      <c r="I386" s="4">
        <v>159013</v>
      </c>
      <c r="J386" t="s">
        <v>19</v>
      </c>
      <c r="K386" t="s">
        <v>20</v>
      </c>
      <c r="L386" t="s">
        <v>21</v>
      </c>
      <c r="M386" t="s">
        <v>64</v>
      </c>
      <c r="N386">
        <v>2</v>
      </c>
      <c r="X386">
        <v>1</v>
      </c>
      <c r="AB386" t="str">
        <f t="shared" si="5"/>
        <v>Jan</v>
      </c>
    </row>
    <row r="387" spans="1:28" x14ac:dyDescent="0.35">
      <c r="A387" t="s">
        <v>435</v>
      </c>
      <c r="B387">
        <v>52</v>
      </c>
      <c r="C387" t="s">
        <v>24</v>
      </c>
      <c r="D387" t="s">
        <v>53</v>
      </c>
      <c r="E387" t="s">
        <v>26</v>
      </c>
      <c r="F387" t="s">
        <v>56</v>
      </c>
      <c r="G387" s="1">
        <v>45353</v>
      </c>
      <c r="H387" s="1">
        <v>45362</v>
      </c>
      <c r="I387" s="4">
        <v>74196</v>
      </c>
      <c r="J387" t="s">
        <v>61</v>
      </c>
      <c r="K387" t="s">
        <v>42</v>
      </c>
      <c r="L387" t="s">
        <v>48</v>
      </c>
      <c r="M387" t="s">
        <v>64</v>
      </c>
      <c r="N387">
        <v>3</v>
      </c>
      <c r="X387">
        <v>3</v>
      </c>
      <c r="AB387" t="str">
        <f t="shared" ref="AB387:AB450" si="6">TEXT(G387,"mmm")</f>
        <v>Mar</v>
      </c>
    </row>
    <row r="388" spans="1:28" x14ac:dyDescent="0.35">
      <c r="A388" t="s">
        <v>436</v>
      </c>
      <c r="B388">
        <v>41</v>
      </c>
      <c r="C388" t="s">
        <v>24</v>
      </c>
      <c r="D388" t="s">
        <v>45</v>
      </c>
      <c r="E388" t="s">
        <v>32</v>
      </c>
      <c r="F388" t="s">
        <v>36</v>
      </c>
      <c r="G388" s="1">
        <v>45385</v>
      </c>
      <c r="H388" s="1">
        <v>45389</v>
      </c>
      <c r="I388" s="4">
        <v>116249</v>
      </c>
      <c r="J388" t="s">
        <v>61</v>
      </c>
      <c r="K388" t="s">
        <v>29</v>
      </c>
      <c r="L388" t="s">
        <v>46</v>
      </c>
      <c r="M388" t="s">
        <v>64</v>
      </c>
      <c r="N388">
        <v>1</v>
      </c>
      <c r="X388">
        <v>4</v>
      </c>
      <c r="AB388" t="str">
        <f t="shared" si="6"/>
        <v>Apr</v>
      </c>
    </row>
    <row r="389" spans="1:28" x14ac:dyDescent="0.35">
      <c r="A389" t="s">
        <v>437</v>
      </c>
      <c r="B389">
        <v>61</v>
      </c>
      <c r="C389" t="s">
        <v>24</v>
      </c>
      <c r="D389" t="s">
        <v>45</v>
      </c>
      <c r="E389" t="s">
        <v>26</v>
      </c>
      <c r="F389" t="s">
        <v>41</v>
      </c>
      <c r="G389" s="1">
        <v>45737</v>
      </c>
      <c r="H389" s="1">
        <v>45757</v>
      </c>
      <c r="I389" s="4">
        <v>226432</v>
      </c>
      <c r="J389" t="s">
        <v>19</v>
      </c>
      <c r="K389" t="s">
        <v>42</v>
      </c>
      <c r="L389" t="s">
        <v>43</v>
      </c>
      <c r="M389" t="s">
        <v>64</v>
      </c>
      <c r="N389">
        <v>4</v>
      </c>
      <c r="X389">
        <v>3</v>
      </c>
      <c r="AB389" t="str">
        <f t="shared" si="6"/>
        <v>Mar</v>
      </c>
    </row>
    <row r="390" spans="1:28" x14ac:dyDescent="0.35">
      <c r="A390" t="s">
        <v>438</v>
      </c>
      <c r="B390">
        <v>53</v>
      </c>
      <c r="C390" t="s">
        <v>15</v>
      </c>
      <c r="D390" t="s">
        <v>45</v>
      </c>
      <c r="E390" t="s">
        <v>17</v>
      </c>
      <c r="F390" t="s">
        <v>41</v>
      </c>
      <c r="G390" s="1">
        <v>45864</v>
      </c>
      <c r="H390" s="1">
        <v>45883</v>
      </c>
      <c r="I390" s="4">
        <v>205134</v>
      </c>
      <c r="J390" t="s">
        <v>37</v>
      </c>
      <c r="K390" t="s">
        <v>20</v>
      </c>
      <c r="L390" t="s">
        <v>21</v>
      </c>
      <c r="M390" t="s">
        <v>22</v>
      </c>
      <c r="N390">
        <v>3</v>
      </c>
      <c r="X390">
        <v>7</v>
      </c>
      <c r="AB390" t="str">
        <f t="shared" si="6"/>
        <v>Jul</v>
      </c>
    </row>
    <row r="391" spans="1:28" x14ac:dyDescent="0.35">
      <c r="A391" t="s">
        <v>439</v>
      </c>
      <c r="B391">
        <v>64</v>
      </c>
      <c r="C391" t="s">
        <v>15</v>
      </c>
      <c r="D391" t="s">
        <v>25</v>
      </c>
      <c r="E391" t="s">
        <v>17</v>
      </c>
      <c r="F391" t="s">
        <v>56</v>
      </c>
      <c r="G391" s="1">
        <v>45371</v>
      </c>
      <c r="H391" s="1">
        <v>45380</v>
      </c>
      <c r="I391" s="4">
        <v>131405</v>
      </c>
      <c r="J391" t="s">
        <v>28</v>
      </c>
      <c r="K391" t="s">
        <v>63</v>
      </c>
      <c r="L391" t="s">
        <v>48</v>
      </c>
      <c r="M391" t="s">
        <v>64</v>
      </c>
      <c r="N391">
        <v>3</v>
      </c>
      <c r="X391">
        <v>3</v>
      </c>
      <c r="AB391" t="str">
        <f t="shared" si="6"/>
        <v>Mar</v>
      </c>
    </row>
    <row r="392" spans="1:28" x14ac:dyDescent="0.35">
      <c r="A392" t="s">
        <v>440</v>
      </c>
      <c r="B392">
        <v>41</v>
      </c>
      <c r="C392" t="s">
        <v>15</v>
      </c>
      <c r="D392" t="s">
        <v>25</v>
      </c>
      <c r="E392" t="s">
        <v>35</v>
      </c>
      <c r="F392" t="s">
        <v>18</v>
      </c>
      <c r="G392" s="1">
        <v>45329</v>
      </c>
      <c r="H392" s="1">
        <v>45337</v>
      </c>
      <c r="I392" s="4">
        <v>185804</v>
      </c>
      <c r="J392" t="s">
        <v>37</v>
      </c>
      <c r="K392" t="s">
        <v>20</v>
      </c>
      <c r="L392" t="s">
        <v>48</v>
      </c>
      <c r="M392" t="s">
        <v>22</v>
      </c>
      <c r="N392">
        <v>4</v>
      </c>
      <c r="X392">
        <v>2</v>
      </c>
      <c r="AB392" t="str">
        <f t="shared" si="6"/>
        <v>Feb</v>
      </c>
    </row>
    <row r="393" spans="1:28" x14ac:dyDescent="0.35">
      <c r="A393" t="s">
        <v>441</v>
      </c>
      <c r="B393">
        <v>55</v>
      </c>
      <c r="C393" t="s">
        <v>24</v>
      </c>
      <c r="D393" t="s">
        <v>16</v>
      </c>
      <c r="E393" t="s">
        <v>51</v>
      </c>
      <c r="F393" t="s">
        <v>41</v>
      </c>
      <c r="G393" s="1">
        <v>45417</v>
      </c>
      <c r="H393" s="1">
        <v>45422</v>
      </c>
      <c r="I393" s="4">
        <v>78331</v>
      </c>
      <c r="J393" t="s">
        <v>61</v>
      </c>
      <c r="K393" t="s">
        <v>63</v>
      </c>
      <c r="L393" t="s">
        <v>33</v>
      </c>
      <c r="M393" t="s">
        <v>38</v>
      </c>
      <c r="N393">
        <v>1</v>
      </c>
      <c r="X393">
        <v>5</v>
      </c>
      <c r="AB393" t="str">
        <f t="shared" si="6"/>
        <v>May</v>
      </c>
    </row>
    <row r="394" spans="1:28" x14ac:dyDescent="0.35">
      <c r="A394" t="s">
        <v>442</v>
      </c>
      <c r="B394">
        <v>61</v>
      </c>
      <c r="C394" t="s">
        <v>15</v>
      </c>
      <c r="D394" t="s">
        <v>45</v>
      </c>
      <c r="E394" t="s">
        <v>51</v>
      </c>
      <c r="F394" t="s">
        <v>27</v>
      </c>
      <c r="G394" s="1">
        <v>45417</v>
      </c>
      <c r="H394" s="1">
        <v>45426</v>
      </c>
      <c r="I394" s="4">
        <v>208867</v>
      </c>
      <c r="J394" t="s">
        <v>28</v>
      </c>
      <c r="K394" t="s">
        <v>42</v>
      </c>
      <c r="L394" t="s">
        <v>46</v>
      </c>
      <c r="M394" t="s">
        <v>38</v>
      </c>
      <c r="N394">
        <v>2</v>
      </c>
      <c r="X394">
        <v>5</v>
      </c>
      <c r="AB394" t="str">
        <f t="shared" si="6"/>
        <v>May</v>
      </c>
    </row>
    <row r="395" spans="1:28" x14ac:dyDescent="0.35">
      <c r="A395" t="s">
        <v>443</v>
      </c>
      <c r="B395">
        <v>49</v>
      </c>
      <c r="C395" t="s">
        <v>15</v>
      </c>
      <c r="D395" t="s">
        <v>45</v>
      </c>
      <c r="E395" t="s">
        <v>26</v>
      </c>
      <c r="F395" t="s">
        <v>41</v>
      </c>
      <c r="G395" s="1">
        <v>45361</v>
      </c>
      <c r="H395" s="1">
        <v>45378</v>
      </c>
      <c r="I395" s="4">
        <v>136562</v>
      </c>
      <c r="J395" t="s">
        <v>37</v>
      </c>
      <c r="K395" t="s">
        <v>29</v>
      </c>
      <c r="L395" t="s">
        <v>48</v>
      </c>
      <c r="M395" t="s">
        <v>38</v>
      </c>
      <c r="N395">
        <v>5</v>
      </c>
      <c r="X395">
        <v>3</v>
      </c>
      <c r="AB395" t="str">
        <f t="shared" si="6"/>
        <v>Mar</v>
      </c>
    </row>
    <row r="396" spans="1:28" x14ac:dyDescent="0.35">
      <c r="A396" t="s">
        <v>444</v>
      </c>
      <c r="B396">
        <v>71</v>
      </c>
      <c r="C396" t="s">
        <v>24</v>
      </c>
      <c r="D396" t="s">
        <v>58</v>
      </c>
      <c r="E396" t="s">
        <v>26</v>
      </c>
      <c r="F396" t="s">
        <v>41</v>
      </c>
      <c r="G396" s="1">
        <v>45488</v>
      </c>
      <c r="H396" s="1">
        <v>45499</v>
      </c>
      <c r="I396" s="4">
        <v>98177</v>
      </c>
      <c r="J396" t="s">
        <v>37</v>
      </c>
      <c r="K396" t="s">
        <v>29</v>
      </c>
      <c r="L396" t="s">
        <v>48</v>
      </c>
      <c r="M396" t="s">
        <v>38</v>
      </c>
      <c r="N396">
        <v>5</v>
      </c>
      <c r="X396">
        <v>7</v>
      </c>
      <c r="AB396" t="str">
        <f t="shared" si="6"/>
        <v>Jul</v>
      </c>
    </row>
    <row r="397" spans="1:28" x14ac:dyDescent="0.35">
      <c r="A397" t="s">
        <v>445</v>
      </c>
      <c r="B397">
        <v>35</v>
      </c>
      <c r="C397" t="s">
        <v>24</v>
      </c>
      <c r="D397" t="s">
        <v>58</v>
      </c>
      <c r="E397" t="s">
        <v>32</v>
      </c>
      <c r="F397" t="s">
        <v>27</v>
      </c>
      <c r="G397" s="1">
        <v>45656</v>
      </c>
      <c r="H397" s="1">
        <v>45674</v>
      </c>
      <c r="I397" s="4">
        <v>236653</v>
      </c>
      <c r="J397" t="s">
        <v>28</v>
      </c>
      <c r="K397" t="s">
        <v>42</v>
      </c>
      <c r="L397" t="s">
        <v>33</v>
      </c>
      <c r="M397" t="s">
        <v>64</v>
      </c>
      <c r="N397">
        <v>2</v>
      </c>
      <c r="X397">
        <v>12</v>
      </c>
      <c r="AB397" t="str">
        <f t="shared" si="6"/>
        <v>Dec</v>
      </c>
    </row>
    <row r="398" spans="1:28" x14ac:dyDescent="0.35">
      <c r="A398" t="s">
        <v>446</v>
      </c>
      <c r="B398">
        <v>30</v>
      </c>
      <c r="C398" t="s">
        <v>24</v>
      </c>
      <c r="D398" t="s">
        <v>31</v>
      </c>
      <c r="E398" t="s">
        <v>40</v>
      </c>
      <c r="F398" t="s">
        <v>18</v>
      </c>
      <c r="G398" s="1">
        <v>45955</v>
      </c>
      <c r="H398" s="1">
        <v>45975</v>
      </c>
      <c r="I398" s="4">
        <v>81870</v>
      </c>
      <c r="J398" t="s">
        <v>19</v>
      </c>
      <c r="K398" t="s">
        <v>63</v>
      </c>
      <c r="L398" t="s">
        <v>43</v>
      </c>
      <c r="M398" t="s">
        <v>38</v>
      </c>
      <c r="N398">
        <v>1</v>
      </c>
      <c r="X398">
        <v>10</v>
      </c>
      <c r="AB398" t="str">
        <f t="shared" si="6"/>
        <v>Oct</v>
      </c>
    </row>
    <row r="399" spans="1:28" x14ac:dyDescent="0.35">
      <c r="A399" t="s">
        <v>447</v>
      </c>
      <c r="B399">
        <v>57</v>
      </c>
      <c r="C399" t="s">
        <v>15</v>
      </c>
      <c r="D399" t="s">
        <v>31</v>
      </c>
      <c r="E399" t="s">
        <v>35</v>
      </c>
      <c r="F399" t="s">
        <v>18</v>
      </c>
      <c r="G399" s="1">
        <v>45767</v>
      </c>
      <c r="H399" s="1">
        <v>45779</v>
      </c>
      <c r="I399" s="4">
        <v>8388</v>
      </c>
      <c r="J399" t="s">
        <v>28</v>
      </c>
      <c r="K399" t="s">
        <v>20</v>
      </c>
      <c r="L399" t="s">
        <v>43</v>
      </c>
      <c r="M399" t="s">
        <v>64</v>
      </c>
      <c r="N399">
        <v>4</v>
      </c>
      <c r="X399">
        <v>4</v>
      </c>
      <c r="AB399" t="str">
        <f t="shared" si="6"/>
        <v>Apr</v>
      </c>
    </row>
    <row r="400" spans="1:28" x14ac:dyDescent="0.35">
      <c r="A400" t="s">
        <v>448</v>
      </c>
      <c r="B400">
        <v>23</v>
      </c>
      <c r="C400" t="s">
        <v>24</v>
      </c>
      <c r="D400" t="s">
        <v>50</v>
      </c>
      <c r="E400" t="s">
        <v>32</v>
      </c>
      <c r="F400" t="s">
        <v>56</v>
      </c>
      <c r="G400" s="1">
        <v>45392</v>
      </c>
      <c r="H400" s="1">
        <v>45397</v>
      </c>
      <c r="I400" s="4">
        <v>220828</v>
      </c>
      <c r="J400" t="s">
        <v>61</v>
      </c>
      <c r="K400" t="s">
        <v>29</v>
      </c>
      <c r="L400" t="s">
        <v>33</v>
      </c>
      <c r="M400" t="s">
        <v>64</v>
      </c>
      <c r="N400">
        <v>2</v>
      </c>
      <c r="X400">
        <v>4</v>
      </c>
      <c r="AB400" t="str">
        <f t="shared" si="6"/>
        <v>Apr</v>
      </c>
    </row>
    <row r="401" spans="1:28" x14ac:dyDescent="0.35">
      <c r="A401" t="s">
        <v>449</v>
      </c>
      <c r="B401">
        <v>66</v>
      </c>
      <c r="C401" t="s">
        <v>15</v>
      </c>
      <c r="D401" t="s">
        <v>53</v>
      </c>
      <c r="E401" t="s">
        <v>26</v>
      </c>
      <c r="F401" t="s">
        <v>41</v>
      </c>
      <c r="G401" s="1">
        <v>46005</v>
      </c>
      <c r="H401" s="1">
        <v>46023</v>
      </c>
      <c r="I401" s="4">
        <v>69462</v>
      </c>
      <c r="J401" t="s">
        <v>28</v>
      </c>
      <c r="K401" t="s">
        <v>20</v>
      </c>
      <c r="L401" t="s">
        <v>43</v>
      </c>
      <c r="M401" t="s">
        <v>38</v>
      </c>
      <c r="N401">
        <v>5</v>
      </c>
      <c r="X401">
        <v>12</v>
      </c>
      <c r="AB401" t="str">
        <f t="shared" si="6"/>
        <v>Dec</v>
      </c>
    </row>
    <row r="402" spans="1:28" x14ac:dyDescent="0.35">
      <c r="A402" t="s">
        <v>450</v>
      </c>
      <c r="B402">
        <v>78</v>
      </c>
      <c r="C402" t="s">
        <v>24</v>
      </c>
      <c r="D402" t="s">
        <v>50</v>
      </c>
      <c r="E402" t="s">
        <v>26</v>
      </c>
      <c r="F402" t="s">
        <v>18</v>
      </c>
      <c r="G402" s="1">
        <v>45917</v>
      </c>
      <c r="H402" s="1">
        <v>45931</v>
      </c>
      <c r="I402" s="4">
        <v>78328</v>
      </c>
      <c r="J402" t="s">
        <v>61</v>
      </c>
      <c r="K402" t="s">
        <v>29</v>
      </c>
      <c r="L402" t="s">
        <v>48</v>
      </c>
      <c r="M402" t="s">
        <v>38</v>
      </c>
      <c r="N402">
        <v>3</v>
      </c>
      <c r="X402">
        <v>9</v>
      </c>
      <c r="AB402" t="str">
        <f t="shared" si="6"/>
        <v>Sep</v>
      </c>
    </row>
    <row r="403" spans="1:28" x14ac:dyDescent="0.35">
      <c r="A403" t="s">
        <v>451</v>
      </c>
      <c r="B403">
        <v>51</v>
      </c>
      <c r="C403" t="s">
        <v>24</v>
      </c>
      <c r="D403" t="s">
        <v>31</v>
      </c>
      <c r="E403" t="s">
        <v>17</v>
      </c>
      <c r="F403" t="s">
        <v>18</v>
      </c>
      <c r="G403" s="1">
        <v>45807</v>
      </c>
      <c r="H403" s="1">
        <v>45818</v>
      </c>
      <c r="I403" s="4">
        <v>130467</v>
      </c>
      <c r="J403" t="s">
        <v>61</v>
      </c>
      <c r="K403" t="s">
        <v>63</v>
      </c>
      <c r="L403" t="s">
        <v>33</v>
      </c>
      <c r="M403" t="s">
        <v>38</v>
      </c>
      <c r="N403">
        <v>5</v>
      </c>
      <c r="X403">
        <v>5</v>
      </c>
      <c r="AB403" t="str">
        <f t="shared" si="6"/>
        <v>May</v>
      </c>
    </row>
    <row r="404" spans="1:28" x14ac:dyDescent="0.35">
      <c r="A404" t="s">
        <v>452</v>
      </c>
      <c r="B404">
        <v>59</v>
      </c>
      <c r="C404" t="s">
        <v>15</v>
      </c>
      <c r="D404" t="s">
        <v>16</v>
      </c>
      <c r="E404" t="s">
        <v>51</v>
      </c>
      <c r="F404" t="s">
        <v>18</v>
      </c>
      <c r="G404" s="1">
        <v>45683</v>
      </c>
      <c r="H404" s="1">
        <v>45696</v>
      </c>
      <c r="I404" s="4">
        <v>121046</v>
      </c>
      <c r="J404" t="s">
        <v>61</v>
      </c>
      <c r="K404" t="s">
        <v>42</v>
      </c>
      <c r="L404" t="s">
        <v>48</v>
      </c>
      <c r="M404" t="s">
        <v>38</v>
      </c>
      <c r="N404">
        <v>1</v>
      </c>
      <c r="X404">
        <v>1</v>
      </c>
      <c r="AB404" t="str">
        <f t="shared" si="6"/>
        <v>Jan</v>
      </c>
    </row>
    <row r="405" spans="1:28" x14ac:dyDescent="0.35">
      <c r="A405" t="s">
        <v>453</v>
      </c>
      <c r="B405">
        <v>19</v>
      </c>
      <c r="C405" t="s">
        <v>15</v>
      </c>
      <c r="D405" t="s">
        <v>50</v>
      </c>
      <c r="E405" t="s">
        <v>17</v>
      </c>
      <c r="F405" t="s">
        <v>41</v>
      </c>
      <c r="G405" s="1">
        <v>45915</v>
      </c>
      <c r="H405" s="1">
        <v>45925</v>
      </c>
      <c r="I405" s="4">
        <v>97743</v>
      </c>
      <c r="J405" t="s">
        <v>61</v>
      </c>
      <c r="K405" t="s">
        <v>29</v>
      </c>
      <c r="L405" t="s">
        <v>43</v>
      </c>
      <c r="M405" t="s">
        <v>22</v>
      </c>
      <c r="N405">
        <v>5</v>
      </c>
      <c r="X405">
        <v>9</v>
      </c>
      <c r="AB405" t="str">
        <f t="shared" si="6"/>
        <v>Sep</v>
      </c>
    </row>
    <row r="406" spans="1:28" x14ac:dyDescent="0.35">
      <c r="A406" t="s">
        <v>454</v>
      </c>
      <c r="B406">
        <v>54</v>
      </c>
      <c r="C406" t="s">
        <v>15</v>
      </c>
      <c r="D406" t="s">
        <v>58</v>
      </c>
      <c r="E406" t="s">
        <v>32</v>
      </c>
      <c r="F406" t="s">
        <v>36</v>
      </c>
      <c r="G406" s="1">
        <v>45893</v>
      </c>
      <c r="H406" s="1">
        <v>45913</v>
      </c>
      <c r="I406" s="4">
        <v>218787</v>
      </c>
      <c r="J406" t="s">
        <v>61</v>
      </c>
      <c r="K406" t="s">
        <v>20</v>
      </c>
      <c r="L406" t="s">
        <v>33</v>
      </c>
      <c r="M406" t="s">
        <v>38</v>
      </c>
      <c r="N406">
        <v>5</v>
      </c>
      <c r="X406">
        <v>8</v>
      </c>
      <c r="AB406" t="str">
        <f t="shared" si="6"/>
        <v>Aug</v>
      </c>
    </row>
    <row r="407" spans="1:28" x14ac:dyDescent="0.35">
      <c r="A407" t="s">
        <v>455</v>
      </c>
      <c r="B407">
        <v>34</v>
      </c>
      <c r="C407" t="s">
        <v>24</v>
      </c>
      <c r="D407" t="s">
        <v>25</v>
      </c>
      <c r="E407" t="s">
        <v>35</v>
      </c>
      <c r="F407" t="s">
        <v>18</v>
      </c>
      <c r="G407" s="1">
        <v>45608</v>
      </c>
      <c r="H407" s="1">
        <v>45620</v>
      </c>
      <c r="I407" s="4">
        <v>176285</v>
      </c>
      <c r="J407" t="s">
        <v>37</v>
      </c>
      <c r="K407" t="s">
        <v>42</v>
      </c>
      <c r="L407" t="s">
        <v>43</v>
      </c>
      <c r="M407" t="s">
        <v>64</v>
      </c>
      <c r="N407">
        <v>4</v>
      </c>
      <c r="X407">
        <v>11</v>
      </c>
      <c r="AB407" t="str">
        <f t="shared" si="6"/>
        <v>Nov</v>
      </c>
    </row>
    <row r="408" spans="1:28" x14ac:dyDescent="0.35">
      <c r="A408" t="s">
        <v>456</v>
      </c>
      <c r="B408">
        <v>18</v>
      </c>
      <c r="C408" t="s">
        <v>15</v>
      </c>
      <c r="D408" t="s">
        <v>31</v>
      </c>
      <c r="E408" t="s">
        <v>32</v>
      </c>
      <c r="F408" t="s">
        <v>18</v>
      </c>
      <c r="G408" s="1">
        <v>45961</v>
      </c>
      <c r="H408" s="1">
        <v>45967</v>
      </c>
      <c r="I408" s="4">
        <v>248790</v>
      </c>
      <c r="J408" t="s">
        <v>28</v>
      </c>
      <c r="K408" t="s">
        <v>29</v>
      </c>
      <c r="L408" t="s">
        <v>43</v>
      </c>
      <c r="M408" t="s">
        <v>64</v>
      </c>
      <c r="N408">
        <v>2</v>
      </c>
      <c r="X408">
        <v>10</v>
      </c>
      <c r="AB408" t="str">
        <f t="shared" si="6"/>
        <v>Oct</v>
      </c>
    </row>
    <row r="409" spans="1:28" x14ac:dyDescent="0.35">
      <c r="A409" t="s">
        <v>457</v>
      </c>
      <c r="B409">
        <v>57</v>
      </c>
      <c r="C409" t="s">
        <v>24</v>
      </c>
      <c r="D409" t="s">
        <v>25</v>
      </c>
      <c r="E409" t="s">
        <v>35</v>
      </c>
      <c r="F409" t="s">
        <v>36</v>
      </c>
      <c r="G409" s="1">
        <v>45386</v>
      </c>
      <c r="H409" s="1">
        <v>45388</v>
      </c>
      <c r="I409" s="4">
        <v>135622</v>
      </c>
      <c r="J409" t="s">
        <v>28</v>
      </c>
      <c r="K409" t="s">
        <v>29</v>
      </c>
      <c r="L409" t="s">
        <v>33</v>
      </c>
      <c r="M409" t="s">
        <v>38</v>
      </c>
      <c r="N409">
        <v>5</v>
      </c>
      <c r="X409">
        <v>4</v>
      </c>
      <c r="AB409" t="str">
        <f t="shared" si="6"/>
        <v>Apr</v>
      </c>
    </row>
    <row r="410" spans="1:28" x14ac:dyDescent="0.35">
      <c r="A410" t="s">
        <v>458</v>
      </c>
      <c r="B410">
        <v>80</v>
      </c>
      <c r="C410" t="s">
        <v>15</v>
      </c>
      <c r="D410" t="s">
        <v>25</v>
      </c>
      <c r="E410" t="s">
        <v>35</v>
      </c>
      <c r="F410" t="s">
        <v>27</v>
      </c>
      <c r="G410" s="1">
        <v>45565</v>
      </c>
      <c r="H410" s="1">
        <v>45581</v>
      </c>
      <c r="I410" s="4">
        <v>188957</v>
      </c>
      <c r="J410" t="s">
        <v>28</v>
      </c>
      <c r="K410" t="s">
        <v>63</v>
      </c>
      <c r="L410" t="s">
        <v>46</v>
      </c>
      <c r="M410" t="s">
        <v>22</v>
      </c>
      <c r="N410">
        <v>2</v>
      </c>
      <c r="X410">
        <v>9</v>
      </c>
      <c r="AB410" t="str">
        <f t="shared" si="6"/>
        <v>Sep</v>
      </c>
    </row>
    <row r="411" spans="1:28" x14ac:dyDescent="0.35">
      <c r="A411" t="s">
        <v>459</v>
      </c>
      <c r="B411">
        <v>78</v>
      </c>
      <c r="C411" t="s">
        <v>15</v>
      </c>
      <c r="D411" t="s">
        <v>45</v>
      </c>
      <c r="E411" t="s">
        <v>35</v>
      </c>
      <c r="F411" t="s">
        <v>36</v>
      </c>
      <c r="G411" s="1">
        <v>45923</v>
      </c>
      <c r="H411" s="1">
        <v>45930</v>
      </c>
      <c r="I411" s="4">
        <v>174317</v>
      </c>
      <c r="J411" t="s">
        <v>19</v>
      </c>
      <c r="K411" t="s">
        <v>20</v>
      </c>
      <c r="L411" t="s">
        <v>48</v>
      </c>
      <c r="M411" t="s">
        <v>64</v>
      </c>
      <c r="N411">
        <v>4</v>
      </c>
      <c r="X411">
        <v>9</v>
      </c>
      <c r="AB411" t="str">
        <f t="shared" si="6"/>
        <v>Sep</v>
      </c>
    </row>
    <row r="412" spans="1:28" x14ac:dyDescent="0.35">
      <c r="A412" t="s">
        <v>460</v>
      </c>
      <c r="B412">
        <v>84</v>
      </c>
      <c r="C412" t="s">
        <v>15</v>
      </c>
      <c r="D412" t="s">
        <v>58</v>
      </c>
      <c r="E412" t="s">
        <v>17</v>
      </c>
      <c r="F412" t="s">
        <v>18</v>
      </c>
      <c r="G412" s="1">
        <v>45520</v>
      </c>
      <c r="H412" s="1">
        <v>45524</v>
      </c>
      <c r="I412" s="4">
        <v>60696</v>
      </c>
      <c r="J412" t="s">
        <v>19</v>
      </c>
      <c r="K412" t="s">
        <v>29</v>
      </c>
      <c r="L412" t="s">
        <v>21</v>
      </c>
      <c r="M412" t="s">
        <v>38</v>
      </c>
      <c r="N412">
        <v>2</v>
      </c>
      <c r="X412">
        <v>8</v>
      </c>
      <c r="AB412" t="str">
        <f t="shared" si="6"/>
        <v>Aug</v>
      </c>
    </row>
    <row r="413" spans="1:28" x14ac:dyDescent="0.35">
      <c r="A413" t="s">
        <v>461</v>
      </c>
      <c r="B413">
        <v>74</v>
      </c>
      <c r="C413" t="s">
        <v>24</v>
      </c>
      <c r="D413" t="s">
        <v>53</v>
      </c>
      <c r="E413" t="s">
        <v>40</v>
      </c>
      <c r="F413" t="s">
        <v>56</v>
      </c>
      <c r="G413" s="1">
        <v>45832</v>
      </c>
      <c r="H413" s="1">
        <v>45849</v>
      </c>
      <c r="I413" s="4">
        <v>139102</v>
      </c>
      <c r="J413" t="s">
        <v>28</v>
      </c>
      <c r="K413" t="s">
        <v>29</v>
      </c>
      <c r="L413" t="s">
        <v>43</v>
      </c>
      <c r="M413" t="s">
        <v>38</v>
      </c>
      <c r="N413">
        <v>2</v>
      </c>
      <c r="X413">
        <v>6</v>
      </c>
      <c r="AB413" t="str">
        <f t="shared" si="6"/>
        <v>Jun</v>
      </c>
    </row>
    <row r="414" spans="1:28" x14ac:dyDescent="0.35">
      <c r="A414" t="s">
        <v>462</v>
      </c>
      <c r="B414">
        <v>80</v>
      </c>
      <c r="C414" t="s">
        <v>15</v>
      </c>
      <c r="D414" t="s">
        <v>53</v>
      </c>
      <c r="E414" t="s">
        <v>26</v>
      </c>
      <c r="F414" t="s">
        <v>27</v>
      </c>
      <c r="G414" s="1">
        <v>45533</v>
      </c>
      <c r="H414" s="1">
        <v>45550</v>
      </c>
      <c r="I414" s="4">
        <v>227613</v>
      </c>
      <c r="J414" t="s">
        <v>19</v>
      </c>
      <c r="K414" t="s">
        <v>20</v>
      </c>
      <c r="L414" t="s">
        <v>33</v>
      </c>
      <c r="M414" t="s">
        <v>22</v>
      </c>
      <c r="N414">
        <v>3</v>
      </c>
      <c r="X414">
        <v>8</v>
      </c>
      <c r="AB414" t="str">
        <f t="shared" si="6"/>
        <v>Aug</v>
      </c>
    </row>
    <row r="415" spans="1:28" x14ac:dyDescent="0.35">
      <c r="A415" t="s">
        <v>463</v>
      </c>
      <c r="B415">
        <v>68</v>
      </c>
      <c r="C415" t="s">
        <v>15</v>
      </c>
      <c r="D415" t="s">
        <v>25</v>
      </c>
      <c r="E415" t="s">
        <v>40</v>
      </c>
      <c r="F415" t="s">
        <v>36</v>
      </c>
      <c r="G415" s="1">
        <v>45644</v>
      </c>
      <c r="H415" s="1">
        <v>45658</v>
      </c>
      <c r="I415" s="4">
        <v>172946</v>
      </c>
      <c r="J415" t="s">
        <v>28</v>
      </c>
      <c r="K415" t="s">
        <v>63</v>
      </c>
      <c r="L415" t="s">
        <v>21</v>
      </c>
      <c r="M415" t="s">
        <v>64</v>
      </c>
      <c r="N415">
        <v>3</v>
      </c>
      <c r="X415">
        <v>12</v>
      </c>
      <c r="AB415" t="str">
        <f t="shared" si="6"/>
        <v>Dec</v>
      </c>
    </row>
    <row r="416" spans="1:28" x14ac:dyDescent="0.35">
      <c r="A416" t="s">
        <v>464</v>
      </c>
      <c r="B416">
        <v>82</v>
      </c>
      <c r="C416" t="s">
        <v>15</v>
      </c>
      <c r="D416" t="s">
        <v>45</v>
      </c>
      <c r="E416" t="s">
        <v>32</v>
      </c>
      <c r="F416" t="s">
        <v>36</v>
      </c>
      <c r="G416" s="1">
        <v>45704</v>
      </c>
      <c r="H416" s="1">
        <v>45724</v>
      </c>
      <c r="I416" s="4">
        <v>52035</v>
      </c>
      <c r="J416" t="s">
        <v>61</v>
      </c>
      <c r="K416" t="s">
        <v>42</v>
      </c>
      <c r="L416" t="s">
        <v>33</v>
      </c>
      <c r="M416" t="s">
        <v>64</v>
      </c>
      <c r="N416">
        <v>5</v>
      </c>
      <c r="X416">
        <v>2</v>
      </c>
      <c r="AB416" t="str">
        <f t="shared" si="6"/>
        <v>Feb</v>
      </c>
    </row>
    <row r="417" spans="1:28" x14ac:dyDescent="0.35">
      <c r="A417" t="s">
        <v>465</v>
      </c>
      <c r="B417">
        <v>65</v>
      </c>
      <c r="C417" t="s">
        <v>15</v>
      </c>
      <c r="D417" t="s">
        <v>45</v>
      </c>
      <c r="E417" t="s">
        <v>32</v>
      </c>
      <c r="F417" t="s">
        <v>27</v>
      </c>
      <c r="G417" s="1">
        <v>45960</v>
      </c>
      <c r="H417" s="1">
        <v>45980</v>
      </c>
      <c r="I417" s="4">
        <v>74029</v>
      </c>
      <c r="J417" t="s">
        <v>37</v>
      </c>
      <c r="K417" t="s">
        <v>29</v>
      </c>
      <c r="L417" t="s">
        <v>43</v>
      </c>
      <c r="M417" t="s">
        <v>22</v>
      </c>
      <c r="N417">
        <v>4</v>
      </c>
      <c r="X417">
        <v>10</v>
      </c>
      <c r="AB417" t="str">
        <f t="shared" si="6"/>
        <v>Oct</v>
      </c>
    </row>
    <row r="418" spans="1:28" x14ac:dyDescent="0.35">
      <c r="A418" t="s">
        <v>466</v>
      </c>
      <c r="B418">
        <v>77</v>
      </c>
      <c r="C418" t="s">
        <v>15</v>
      </c>
      <c r="D418" t="s">
        <v>16</v>
      </c>
      <c r="E418" t="s">
        <v>32</v>
      </c>
      <c r="F418" t="s">
        <v>27</v>
      </c>
      <c r="G418" s="1">
        <v>45478</v>
      </c>
      <c r="H418" s="1">
        <v>45489</v>
      </c>
      <c r="I418" s="4">
        <v>232263</v>
      </c>
      <c r="J418" t="s">
        <v>28</v>
      </c>
      <c r="K418" t="s">
        <v>42</v>
      </c>
      <c r="L418" t="s">
        <v>21</v>
      </c>
      <c r="M418" t="s">
        <v>22</v>
      </c>
      <c r="N418">
        <v>4</v>
      </c>
      <c r="X418">
        <v>7</v>
      </c>
      <c r="AB418" t="str">
        <f t="shared" si="6"/>
        <v>Jul</v>
      </c>
    </row>
    <row r="419" spans="1:28" x14ac:dyDescent="0.35">
      <c r="A419" t="s">
        <v>467</v>
      </c>
      <c r="B419">
        <v>20</v>
      </c>
      <c r="C419" t="s">
        <v>15</v>
      </c>
      <c r="D419" t="s">
        <v>45</v>
      </c>
      <c r="E419" t="s">
        <v>17</v>
      </c>
      <c r="F419" t="s">
        <v>18</v>
      </c>
      <c r="G419" s="1">
        <v>45607</v>
      </c>
      <c r="H419" s="1">
        <v>45615</v>
      </c>
      <c r="I419" s="4">
        <v>122994</v>
      </c>
      <c r="J419" t="s">
        <v>37</v>
      </c>
      <c r="K419" t="s">
        <v>29</v>
      </c>
      <c r="L419" t="s">
        <v>43</v>
      </c>
      <c r="M419" t="s">
        <v>22</v>
      </c>
      <c r="N419">
        <v>4</v>
      </c>
      <c r="X419">
        <v>11</v>
      </c>
      <c r="AB419" t="str">
        <f t="shared" si="6"/>
        <v>Nov</v>
      </c>
    </row>
    <row r="420" spans="1:28" x14ac:dyDescent="0.35">
      <c r="A420" t="s">
        <v>468</v>
      </c>
      <c r="B420">
        <v>19</v>
      </c>
      <c r="C420" t="s">
        <v>15</v>
      </c>
      <c r="D420" t="s">
        <v>50</v>
      </c>
      <c r="E420" t="s">
        <v>35</v>
      </c>
      <c r="F420" t="s">
        <v>56</v>
      </c>
      <c r="G420" s="1">
        <v>45575</v>
      </c>
      <c r="H420" s="1">
        <v>45584</v>
      </c>
      <c r="I420" s="4">
        <v>101700</v>
      </c>
      <c r="J420" t="s">
        <v>61</v>
      </c>
      <c r="K420" t="s">
        <v>63</v>
      </c>
      <c r="L420" t="s">
        <v>43</v>
      </c>
      <c r="M420" t="s">
        <v>64</v>
      </c>
      <c r="N420">
        <v>5</v>
      </c>
      <c r="X420">
        <v>10</v>
      </c>
      <c r="AB420" t="str">
        <f t="shared" si="6"/>
        <v>Oct</v>
      </c>
    </row>
    <row r="421" spans="1:28" x14ac:dyDescent="0.35">
      <c r="A421" t="s">
        <v>469</v>
      </c>
      <c r="B421">
        <v>69</v>
      </c>
      <c r="C421" t="s">
        <v>15</v>
      </c>
      <c r="D421" t="s">
        <v>53</v>
      </c>
      <c r="E421" t="s">
        <v>40</v>
      </c>
      <c r="F421" t="s">
        <v>27</v>
      </c>
      <c r="G421" s="1">
        <v>45891</v>
      </c>
      <c r="H421" s="1">
        <v>45898</v>
      </c>
      <c r="I421" s="4">
        <v>75322</v>
      </c>
      <c r="J421" t="s">
        <v>37</v>
      </c>
      <c r="K421" t="s">
        <v>42</v>
      </c>
      <c r="L421" t="s">
        <v>33</v>
      </c>
      <c r="M421" t="s">
        <v>38</v>
      </c>
      <c r="N421">
        <v>5</v>
      </c>
      <c r="X421">
        <v>8</v>
      </c>
      <c r="AB421" t="str">
        <f t="shared" si="6"/>
        <v>Aug</v>
      </c>
    </row>
    <row r="422" spans="1:28" x14ac:dyDescent="0.35">
      <c r="A422" t="s">
        <v>470</v>
      </c>
      <c r="B422">
        <v>32</v>
      </c>
      <c r="C422" t="s">
        <v>24</v>
      </c>
      <c r="D422" t="s">
        <v>53</v>
      </c>
      <c r="E422" t="s">
        <v>17</v>
      </c>
      <c r="F422" t="s">
        <v>56</v>
      </c>
      <c r="G422" s="1">
        <v>45713</v>
      </c>
      <c r="H422" s="1">
        <v>45714</v>
      </c>
      <c r="I422" s="4">
        <v>168088</v>
      </c>
      <c r="J422" t="s">
        <v>61</v>
      </c>
      <c r="K422" t="s">
        <v>63</v>
      </c>
      <c r="L422" t="s">
        <v>33</v>
      </c>
      <c r="M422" t="s">
        <v>38</v>
      </c>
      <c r="N422">
        <v>4</v>
      </c>
      <c r="X422">
        <v>2</v>
      </c>
      <c r="AB422" t="str">
        <f t="shared" si="6"/>
        <v>Feb</v>
      </c>
    </row>
    <row r="423" spans="1:28" x14ac:dyDescent="0.35">
      <c r="A423" t="s">
        <v>471</v>
      </c>
      <c r="B423">
        <v>21</v>
      </c>
      <c r="C423" t="s">
        <v>24</v>
      </c>
      <c r="D423" t="s">
        <v>16</v>
      </c>
      <c r="E423" t="s">
        <v>40</v>
      </c>
      <c r="F423" t="s">
        <v>27</v>
      </c>
      <c r="G423" s="1">
        <v>45520</v>
      </c>
      <c r="H423" s="1">
        <v>45539</v>
      </c>
      <c r="I423" s="4">
        <v>152143</v>
      </c>
      <c r="J423" t="s">
        <v>19</v>
      </c>
      <c r="K423" t="s">
        <v>29</v>
      </c>
      <c r="L423" t="s">
        <v>46</v>
      </c>
      <c r="M423" t="s">
        <v>22</v>
      </c>
      <c r="N423">
        <v>5</v>
      </c>
      <c r="X423">
        <v>8</v>
      </c>
      <c r="AB423" t="str">
        <f t="shared" si="6"/>
        <v>Aug</v>
      </c>
    </row>
    <row r="424" spans="1:28" x14ac:dyDescent="0.35">
      <c r="A424" t="s">
        <v>472</v>
      </c>
      <c r="B424">
        <v>24</v>
      </c>
      <c r="C424" t="s">
        <v>24</v>
      </c>
      <c r="D424" t="s">
        <v>25</v>
      </c>
      <c r="E424" t="s">
        <v>26</v>
      </c>
      <c r="F424" t="s">
        <v>18</v>
      </c>
      <c r="G424" s="1">
        <v>45946</v>
      </c>
      <c r="H424" s="1">
        <v>45952</v>
      </c>
      <c r="I424" s="4">
        <v>92737</v>
      </c>
      <c r="J424" t="s">
        <v>28</v>
      </c>
      <c r="K424" t="s">
        <v>42</v>
      </c>
      <c r="L424" t="s">
        <v>46</v>
      </c>
      <c r="M424" t="s">
        <v>22</v>
      </c>
      <c r="N424">
        <v>4</v>
      </c>
      <c r="X424">
        <v>10</v>
      </c>
      <c r="AB424" t="str">
        <f t="shared" si="6"/>
        <v>Oct</v>
      </c>
    </row>
    <row r="425" spans="1:28" x14ac:dyDescent="0.35">
      <c r="A425" t="s">
        <v>473</v>
      </c>
      <c r="B425">
        <v>71</v>
      </c>
      <c r="C425" t="s">
        <v>15</v>
      </c>
      <c r="D425" t="s">
        <v>45</v>
      </c>
      <c r="E425" t="s">
        <v>26</v>
      </c>
      <c r="F425" t="s">
        <v>36</v>
      </c>
      <c r="G425" s="1">
        <v>45600</v>
      </c>
      <c r="H425" s="1">
        <v>45615</v>
      </c>
      <c r="I425" s="4">
        <v>68474</v>
      </c>
      <c r="J425" t="s">
        <v>37</v>
      </c>
      <c r="K425" t="s">
        <v>29</v>
      </c>
      <c r="L425" t="s">
        <v>48</v>
      </c>
      <c r="M425" t="s">
        <v>22</v>
      </c>
      <c r="N425">
        <v>4</v>
      </c>
      <c r="X425">
        <v>11</v>
      </c>
      <c r="AB425" t="str">
        <f t="shared" si="6"/>
        <v>Nov</v>
      </c>
    </row>
    <row r="426" spans="1:28" x14ac:dyDescent="0.35">
      <c r="A426" t="s">
        <v>474</v>
      </c>
      <c r="B426">
        <v>60</v>
      </c>
      <c r="C426" t="s">
        <v>15</v>
      </c>
      <c r="D426" t="s">
        <v>45</v>
      </c>
      <c r="E426" t="s">
        <v>26</v>
      </c>
      <c r="F426" t="s">
        <v>56</v>
      </c>
      <c r="G426" s="1">
        <v>45554</v>
      </c>
      <c r="H426" s="1">
        <v>45569</v>
      </c>
      <c r="I426" s="4">
        <v>216884</v>
      </c>
      <c r="J426" t="s">
        <v>19</v>
      </c>
      <c r="K426" t="s">
        <v>29</v>
      </c>
      <c r="L426" t="s">
        <v>21</v>
      </c>
      <c r="M426" t="s">
        <v>22</v>
      </c>
      <c r="N426">
        <v>3</v>
      </c>
      <c r="X426">
        <v>9</v>
      </c>
      <c r="AB426" t="str">
        <f t="shared" si="6"/>
        <v>Sep</v>
      </c>
    </row>
    <row r="427" spans="1:28" x14ac:dyDescent="0.35">
      <c r="A427" t="s">
        <v>475</v>
      </c>
      <c r="B427">
        <v>61</v>
      </c>
      <c r="C427" t="s">
        <v>24</v>
      </c>
      <c r="D427" t="s">
        <v>16</v>
      </c>
      <c r="E427" t="s">
        <v>40</v>
      </c>
      <c r="F427" t="s">
        <v>56</v>
      </c>
      <c r="G427" s="1">
        <v>45349</v>
      </c>
      <c r="H427" s="1">
        <v>45361</v>
      </c>
      <c r="I427" s="4">
        <v>28269</v>
      </c>
      <c r="J427" t="s">
        <v>37</v>
      </c>
      <c r="K427" t="s">
        <v>63</v>
      </c>
      <c r="L427" t="s">
        <v>33</v>
      </c>
      <c r="M427" t="s">
        <v>64</v>
      </c>
      <c r="N427">
        <v>3</v>
      </c>
      <c r="X427">
        <v>2</v>
      </c>
      <c r="AB427" t="str">
        <f t="shared" si="6"/>
        <v>Feb</v>
      </c>
    </row>
    <row r="428" spans="1:28" x14ac:dyDescent="0.35">
      <c r="A428" t="s">
        <v>476</v>
      </c>
      <c r="B428">
        <v>62</v>
      </c>
      <c r="C428" t="s">
        <v>15</v>
      </c>
      <c r="D428" t="s">
        <v>58</v>
      </c>
      <c r="E428" t="s">
        <v>17</v>
      </c>
      <c r="F428" t="s">
        <v>18</v>
      </c>
      <c r="G428" s="1">
        <v>45972</v>
      </c>
      <c r="H428" s="1">
        <v>45989</v>
      </c>
      <c r="I428" s="4">
        <v>169563</v>
      </c>
      <c r="J428" t="s">
        <v>37</v>
      </c>
      <c r="K428" t="s">
        <v>29</v>
      </c>
      <c r="L428" t="s">
        <v>46</v>
      </c>
      <c r="M428" t="s">
        <v>22</v>
      </c>
      <c r="N428">
        <v>2</v>
      </c>
      <c r="X428">
        <v>11</v>
      </c>
      <c r="AB428" t="str">
        <f t="shared" si="6"/>
        <v>Nov</v>
      </c>
    </row>
    <row r="429" spans="1:28" x14ac:dyDescent="0.35">
      <c r="A429" t="s">
        <v>477</v>
      </c>
      <c r="B429">
        <v>76</v>
      </c>
      <c r="C429" t="s">
        <v>15</v>
      </c>
      <c r="D429" t="s">
        <v>58</v>
      </c>
      <c r="E429" t="s">
        <v>40</v>
      </c>
      <c r="F429" t="s">
        <v>41</v>
      </c>
      <c r="G429" s="1">
        <v>45328</v>
      </c>
      <c r="H429" s="1">
        <v>45346</v>
      </c>
      <c r="I429" s="4">
        <v>36754</v>
      </c>
      <c r="J429" t="s">
        <v>28</v>
      </c>
      <c r="K429" t="s">
        <v>63</v>
      </c>
      <c r="L429" t="s">
        <v>43</v>
      </c>
      <c r="M429" t="s">
        <v>64</v>
      </c>
      <c r="N429">
        <v>3</v>
      </c>
      <c r="X429">
        <v>2</v>
      </c>
      <c r="AB429" t="str">
        <f t="shared" si="6"/>
        <v>Feb</v>
      </c>
    </row>
    <row r="430" spans="1:28" x14ac:dyDescent="0.35">
      <c r="A430" t="s">
        <v>478</v>
      </c>
      <c r="B430">
        <v>61</v>
      </c>
      <c r="C430" t="s">
        <v>15</v>
      </c>
      <c r="D430" t="s">
        <v>45</v>
      </c>
      <c r="E430" t="s">
        <v>40</v>
      </c>
      <c r="F430" t="s">
        <v>56</v>
      </c>
      <c r="G430" s="1">
        <v>45475</v>
      </c>
      <c r="H430" s="1">
        <v>45489</v>
      </c>
      <c r="I430" s="4">
        <v>59236</v>
      </c>
      <c r="J430" t="s">
        <v>19</v>
      </c>
      <c r="K430" t="s">
        <v>29</v>
      </c>
      <c r="L430" t="s">
        <v>48</v>
      </c>
      <c r="M430" t="s">
        <v>64</v>
      </c>
      <c r="N430">
        <v>4</v>
      </c>
      <c r="X430">
        <v>7</v>
      </c>
      <c r="AB430" t="str">
        <f t="shared" si="6"/>
        <v>Jul</v>
      </c>
    </row>
    <row r="431" spans="1:28" x14ac:dyDescent="0.35">
      <c r="A431" t="s">
        <v>479</v>
      </c>
      <c r="B431">
        <v>48</v>
      </c>
      <c r="C431" t="s">
        <v>15</v>
      </c>
      <c r="D431" t="s">
        <v>16</v>
      </c>
      <c r="E431" t="s">
        <v>17</v>
      </c>
      <c r="F431" t="s">
        <v>18</v>
      </c>
      <c r="G431" s="1">
        <v>45586</v>
      </c>
      <c r="H431" s="1">
        <v>45602</v>
      </c>
      <c r="I431" s="4">
        <v>198584</v>
      </c>
      <c r="J431" t="s">
        <v>61</v>
      </c>
      <c r="K431" t="s">
        <v>20</v>
      </c>
      <c r="L431" t="s">
        <v>48</v>
      </c>
      <c r="M431" t="s">
        <v>38</v>
      </c>
      <c r="N431">
        <v>5</v>
      </c>
      <c r="X431">
        <v>10</v>
      </c>
      <c r="AB431" t="str">
        <f t="shared" si="6"/>
        <v>Oct</v>
      </c>
    </row>
    <row r="432" spans="1:28" x14ac:dyDescent="0.35">
      <c r="A432" t="s">
        <v>480</v>
      </c>
      <c r="B432">
        <v>73</v>
      </c>
      <c r="C432" t="s">
        <v>24</v>
      </c>
      <c r="D432" t="s">
        <v>53</v>
      </c>
      <c r="E432" t="s">
        <v>17</v>
      </c>
      <c r="F432" t="s">
        <v>27</v>
      </c>
      <c r="G432" s="1">
        <v>46001</v>
      </c>
      <c r="H432" s="1">
        <v>46016</v>
      </c>
      <c r="I432" s="4">
        <v>116892</v>
      </c>
      <c r="J432" t="s">
        <v>37</v>
      </c>
      <c r="K432" t="s">
        <v>20</v>
      </c>
      <c r="L432" t="s">
        <v>48</v>
      </c>
      <c r="M432" t="s">
        <v>38</v>
      </c>
      <c r="N432">
        <v>3</v>
      </c>
      <c r="X432">
        <v>12</v>
      </c>
      <c r="AB432" t="str">
        <f t="shared" si="6"/>
        <v>Dec</v>
      </c>
    </row>
    <row r="433" spans="1:28" x14ac:dyDescent="0.35">
      <c r="A433" t="s">
        <v>481</v>
      </c>
      <c r="B433">
        <v>45</v>
      </c>
      <c r="C433" t="s">
        <v>24</v>
      </c>
      <c r="D433" t="s">
        <v>31</v>
      </c>
      <c r="E433" t="s">
        <v>17</v>
      </c>
      <c r="F433" t="s">
        <v>41</v>
      </c>
      <c r="G433" s="1">
        <v>45819</v>
      </c>
      <c r="H433" s="1">
        <v>45839</v>
      </c>
      <c r="I433" s="4">
        <v>230037</v>
      </c>
      <c r="J433" t="s">
        <v>28</v>
      </c>
      <c r="K433" t="s">
        <v>42</v>
      </c>
      <c r="L433" t="s">
        <v>33</v>
      </c>
      <c r="M433" t="s">
        <v>64</v>
      </c>
      <c r="N433">
        <v>1</v>
      </c>
      <c r="X433">
        <v>6</v>
      </c>
      <c r="AB433" t="str">
        <f t="shared" si="6"/>
        <v>Jun</v>
      </c>
    </row>
    <row r="434" spans="1:28" x14ac:dyDescent="0.35">
      <c r="A434" t="s">
        <v>482</v>
      </c>
      <c r="B434">
        <v>18</v>
      </c>
      <c r="C434" t="s">
        <v>24</v>
      </c>
      <c r="D434" t="s">
        <v>53</v>
      </c>
      <c r="E434" t="s">
        <v>51</v>
      </c>
      <c r="F434" t="s">
        <v>41</v>
      </c>
      <c r="G434" s="1">
        <v>45654</v>
      </c>
      <c r="H434" s="1">
        <v>45658</v>
      </c>
      <c r="I434" s="4">
        <v>204214</v>
      </c>
      <c r="J434" t="s">
        <v>61</v>
      </c>
      <c r="K434" t="s">
        <v>42</v>
      </c>
      <c r="L434" t="s">
        <v>21</v>
      </c>
      <c r="M434" t="s">
        <v>38</v>
      </c>
      <c r="N434">
        <v>4</v>
      </c>
      <c r="X434">
        <v>12</v>
      </c>
      <c r="AB434" t="str">
        <f t="shared" si="6"/>
        <v>Dec</v>
      </c>
    </row>
    <row r="435" spans="1:28" x14ac:dyDescent="0.35">
      <c r="A435" t="s">
        <v>483</v>
      </c>
      <c r="B435">
        <v>59</v>
      </c>
      <c r="C435" t="s">
        <v>24</v>
      </c>
      <c r="D435" t="s">
        <v>25</v>
      </c>
      <c r="E435" t="s">
        <v>51</v>
      </c>
      <c r="F435" t="s">
        <v>56</v>
      </c>
      <c r="G435" s="1">
        <v>46007</v>
      </c>
      <c r="H435" s="1">
        <v>46015</v>
      </c>
      <c r="I435" s="4">
        <v>157286</v>
      </c>
      <c r="J435" t="s">
        <v>19</v>
      </c>
      <c r="K435" t="s">
        <v>63</v>
      </c>
      <c r="L435" t="s">
        <v>21</v>
      </c>
      <c r="M435" t="s">
        <v>64</v>
      </c>
      <c r="N435">
        <v>1</v>
      </c>
      <c r="X435">
        <v>12</v>
      </c>
      <c r="AB435" t="str">
        <f t="shared" si="6"/>
        <v>Dec</v>
      </c>
    </row>
    <row r="436" spans="1:28" x14ac:dyDescent="0.35">
      <c r="A436" t="s">
        <v>484</v>
      </c>
      <c r="B436">
        <v>65</v>
      </c>
      <c r="C436" t="s">
        <v>15</v>
      </c>
      <c r="D436" t="s">
        <v>45</v>
      </c>
      <c r="E436" t="s">
        <v>35</v>
      </c>
      <c r="F436" t="s">
        <v>27</v>
      </c>
      <c r="G436" s="1">
        <v>45542</v>
      </c>
      <c r="H436" s="1">
        <v>45551</v>
      </c>
      <c r="I436" s="4">
        <v>148083</v>
      </c>
      <c r="J436" t="s">
        <v>19</v>
      </c>
      <c r="K436" t="s">
        <v>29</v>
      </c>
      <c r="L436" t="s">
        <v>46</v>
      </c>
      <c r="M436" t="s">
        <v>64</v>
      </c>
      <c r="N436">
        <v>1</v>
      </c>
      <c r="X436">
        <v>9</v>
      </c>
      <c r="AB436" t="str">
        <f t="shared" si="6"/>
        <v>Sep</v>
      </c>
    </row>
    <row r="437" spans="1:28" x14ac:dyDescent="0.35">
      <c r="A437" t="s">
        <v>485</v>
      </c>
      <c r="B437">
        <v>83</v>
      </c>
      <c r="C437" t="s">
        <v>15</v>
      </c>
      <c r="D437" t="s">
        <v>58</v>
      </c>
      <c r="E437" t="s">
        <v>17</v>
      </c>
      <c r="F437" t="s">
        <v>18</v>
      </c>
      <c r="G437" s="1">
        <v>45450</v>
      </c>
      <c r="H437" s="1">
        <v>45455</v>
      </c>
      <c r="I437" s="4">
        <v>120219</v>
      </c>
      <c r="J437" t="s">
        <v>61</v>
      </c>
      <c r="K437" t="s">
        <v>20</v>
      </c>
      <c r="L437" t="s">
        <v>46</v>
      </c>
      <c r="M437" t="s">
        <v>38</v>
      </c>
      <c r="N437">
        <v>3</v>
      </c>
      <c r="X437">
        <v>6</v>
      </c>
      <c r="AB437" t="str">
        <f t="shared" si="6"/>
        <v>Jun</v>
      </c>
    </row>
    <row r="438" spans="1:28" x14ac:dyDescent="0.35">
      <c r="A438" t="s">
        <v>486</v>
      </c>
      <c r="B438">
        <v>28</v>
      </c>
      <c r="C438" t="s">
        <v>24</v>
      </c>
      <c r="D438" t="s">
        <v>25</v>
      </c>
      <c r="E438" t="s">
        <v>40</v>
      </c>
      <c r="F438" t="s">
        <v>36</v>
      </c>
      <c r="G438" s="1">
        <v>45661</v>
      </c>
      <c r="H438" s="1">
        <v>45675</v>
      </c>
      <c r="I438" s="4">
        <v>147131</v>
      </c>
      <c r="J438" t="s">
        <v>61</v>
      </c>
      <c r="K438" t="s">
        <v>29</v>
      </c>
      <c r="L438" t="s">
        <v>33</v>
      </c>
      <c r="M438" t="s">
        <v>22</v>
      </c>
      <c r="N438">
        <v>3</v>
      </c>
      <c r="X438">
        <v>1</v>
      </c>
      <c r="AB438" t="str">
        <f t="shared" si="6"/>
        <v>Jan</v>
      </c>
    </row>
    <row r="439" spans="1:28" x14ac:dyDescent="0.35">
      <c r="A439" t="s">
        <v>487</v>
      </c>
      <c r="B439">
        <v>51</v>
      </c>
      <c r="C439" t="s">
        <v>24</v>
      </c>
      <c r="D439" t="s">
        <v>25</v>
      </c>
      <c r="E439" t="s">
        <v>17</v>
      </c>
      <c r="F439" t="s">
        <v>27</v>
      </c>
      <c r="G439" s="1">
        <v>45701</v>
      </c>
      <c r="H439" s="1">
        <v>45705</v>
      </c>
      <c r="I439" s="4">
        <v>202543</v>
      </c>
      <c r="J439" t="s">
        <v>37</v>
      </c>
      <c r="K439" t="s">
        <v>20</v>
      </c>
      <c r="L439" t="s">
        <v>33</v>
      </c>
      <c r="M439" t="s">
        <v>22</v>
      </c>
      <c r="N439">
        <v>2</v>
      </c>
      <c r="X439">
        <v>2</v>
      </c>
      <c r="AB439" t="str">
        <f t="shared" si="6"/>
        <v>Feb</v>
      </c>
    </row>
    <row r="440" spans="1:28" x14ac:dyDescent="0.35">
      <c r="A440" t="s">
        <v>488</v>
      </c>
      <c r="B440">
        <v>65</v>
      </c>
      <c r="C440" t="s">
        <v>15</v>
      </c>
      <c r="D440" t="s">
        <v>31</v>
      </c>
      <c r="E440" t="s">
        <v>17</v>
      </c>
      <c r="F440" t="s">
        <v>27</v>
      </c>
      <c r="G440" s="1">
        <v>45502</v>
      </c>
      <c r="H440" s="1">
        <v>45511</v>
      </c>
      <c r="I440" s="4">
        <v>221995</v>
      </c>
      <c r="J440" t="s">
        <v>61</v>
      </c>
      <c r="K440" t="s">
        <v>20</v>
      </c>
      <c r="L440" t="s">
        <v>33</v>
      </c>
      <c r="M440" t="s">
        <v>38</v>
      </c>
      <c r="N440">
        <v>2</v>
      </c>
      <c r="X440">
        <v>7</v>
      </c>
      <c r="AB440" t="str">
        <f t="shared" si="6"/>
        <v>Jul</v>
      </c>
    </row>
    <row r="441" spans="1:28" x14ac:dyDescent="0.35">
      <c r="A441" t="s">
        <v>489</v>
      </c>
      <c r="B441">
        <v>68</v>
      </c>
      <c r="C441" t="s">
        <v>15</v>
      </c>
      <c r="D441" t="s">
        <v>45</v>
      </c>
      <c r="E441" t="s">
        <v>40</v>
      </c>
      <c r="F441" t="s">
        <v>36</v>
      </c>
      <c r="G441" s="1">
        <v>45495</v>
      </c>
      <c r="H441" s="1">
        <v>45504</v>
      </c>
      <c r="I441" s="4">
        <v>200615</v>
      </c>
      <c r="J441" t="s">
        <v>61</v>
      </c>
      <c r="K441" t="s">
        <v>42</v>
      </c>
      <c r="L441" t="s">
        <v>43</v>
      </c>
      <c r="M441" t="s">
        <v>64</v>
      </c>
      <c r="N441">
        <v>3</v>
      </c>
      <c r="X441">
        <v>7</v>
      </c>
      <c r="AB441" t="str">
        <f t="shared" si="6"/>
        <v>Jul</v>
      </c>
    </row>
    <row r="442" spans="1:28" x14ac:dyDescent="0.35">
      <c r="A442" t="s">
        <v>490</v>
      </c>
      <c r="B442">
        <v>40</v>
      </c>
      <c r="C442" t="s">
        <v>24</v>
      </c>
      <c r="D442" t="s">
        <v>31</v>
      </c>
      <c r="E442" t="s">
        <v>17</v>
      </c>
      <c r="F442" t="s">
        <v>36</v>
      </c>
      <c r="G442" s="1">
        <v>45369</v>
      </c>
      <c r="H442" s="1">
        <v>45385</v>
      </c>
      <c r="I442" s="4">
        <v>168361</v>
      </c>
      <c r="J442" t="s">
        <v>37</v>
      </c>
      <c r="K442" t="s">
        <v>29</v>
      </c>
      <c r="L442" t="s">
        <v>21</v>
      </c>
      <c r="M442" t="s">
        <v>64</v>
      </c>
      <c r="N442">
        <v>2</v>
      </c>
      <c r="X442">
        <v>3</v>
      </c>
      <c r="AB442" t="str">
        <f t="shared" si="6"/>
        <v>Mar</v>
      </c>
    </row>
    <row r="443" spans="1:28" x14ac:dyDescent="0.35">
      <c r="A443" t="s">
        <v>491</v>
      </c>
      <c r="B443">
        <v>75</v>
      </c>
      <c r="C443" t="s">
        <v>24</v>
      </c>
      <c r="D443" t="s">
        <v>25</v>
      </c>
      <c r="E443" t="s">
        <v>32</v>
      </c>
      <c r="F443" t="s">
        <v>36</v>
      </c>
      <c r="G443" s="1">
        <v>46012</v>
      </c>
      <c r="H443" s="1">
        <v>46022</v>
      </c>
      <c r="I443" s="4">
        <v>36652</v>
      </c>
      <c r="J443" t="s">
        <v>61</v>
      </c>
      <c r="K443" t="s">
        <v>42</v>
      </c>
      <c r="L443" t="s">
        <v>46</v>
      </c>
      <c r="M443" t="s">
        <v>64</v>
      </c>
      <c r="N443">
        <v>1</v>
      </c>
      <c r="X443">
        <v>12</v>
      </c>
      <c r="AB443" t="str">
        <f t="shared" si="6"/>
        <v>Dec</v>
      </c>
    </row>
    <row r="444" spans="1:28" x14ac:dyDescent="0.35">
      <c r="A444" t="s">
        <v>492</v>
      </c>
      <c r="B444">
        <v>48</v>
      </c>
      <c r="C444" t="s">
        <v>15</v>
      </c>
      <c r="D444" t="s">
        <v>31</v>
      </c>
      <c r="E444" t="s">
        <v>40</v>
      </c>
      <c r="F444" t="s">
        <v>56</v>
      </c>
      <c r="G444" s="1">
        <v>45698</v>
      </c>
      <c r="H444" s="1">
        <v>45718</v>
      </c>
      <c r="I444" s="4">
        <v>21888</v>
      </c>
      <c r="J444" t="s">
        <v>19</v>
      </c>
      <c r="K444" t="s">
        <v>20</v>
      </c>
      <c r="L444" t="s">
        <v>48</v>
      </c>
      <c r="M444" t="s">
        <v>22</v>
      </c>
      <c r="N444">
        <v>2</v>
      </c>
      <c r="X444">
        <v>2</v>
      </c>
      <c r="AB444" t="str">
        <f t="shared" si="6"/>
        <v>Feb</v>
      </c>
    </row>
    <row r="445" spans="1:28" x14ac:dyDescent="0.35">
      <c r="A445" t="s">
        <v>493</v>
      </c>
      <c r="B445">
        <v>84</v>
      </c>
      <c r="C445" t="s">
        <v>24</v>
      </c>
      <c r="D445" t="s">
        <v>45</v>
      </c>
      <c r="E445" t="s">
        <v>32</v>
      </c>
      <c r="F445" t="s">
        <v>18</v>
      </c>
      <c r="G445" s="1">
        <v>45909</v>
      </c>
      <c r="H445" s="1">
        <v>45929</v>
      </c>
      <c r="I445" s="4">
        <v>156932</v>
      </c>
      <c r="J445" t="s">
        <v>19</v>
      </c>
      <c r="K445" t="s">
        <v>63</v>
      </c>
      <c r="L445" t="s">
        <v>46</v>
      </c>
      <c r="M445" t="s">
        <v>38</v>
      </c>
      <c r="N445">
        <v>2</v>
      </c>
      <c r="X445">
        <v>9</v>
      </c>
      <c r="AB445" t="str">
        <f t="shared" si="6"/>
        <v>Sep</v>
      </c>
    </row>
    <row r="446" spans="1:28" x14ac:dyDescent="0.35">
      <c r="A446" t="s">
        <v>494</v>
      </c>
      <c r="B446">
        <v>65</v>
      </c>
      <c r="C446" t="s">
        <v>15</v>
      </c>
      <c r="D446" t="s">
        <v>45</v>
      </c>
      <c r="E446" t="s">
        <v>17</v>
      </c>
      <c r="F446" t="s">
        <v>18</v>
      </c>
      <c r="G446" s="1">
        <v>45509</v>
      </c>
      <c r="H446" s="1">
        <v>45526</v>
      </c>
      <c r="I446" s="4">
        <v>203937</v>
      </c>
      <c r="J446" t="s">
        <v>37</v>
      </c>
      <c r="K446" t="s">
        <v>42</v>
      </c>
      <c r="L446" t="s">
        <v>48</v>
      </c>
      <c r="M446" t="s">
        <v>64</v>
      </c>
      <c r="N446">
        <v>3</v>
      </c>
      <c r="X446">
        <v>8</v>
      </c>
      <c r="AB446" t="str">
        <f t="shared" si="6"/>
        <v>Aug</v>
      </c>
    </row>
    <row r="447" spans="1:28" x14ac:dyDescent="0.35">
      <c r="A447" t="s">
        <v>495</v>
      </c>
      <c r="B447">
        <v>67</v>
      </c>
      <c r="C447" t="s">
        <v>15</v>
      </c>
      <c r="D447" t="s">
        <v>16</v>
      </c>
      <c r="E447" t="s">
        <v>40</v>
      </c>
      <c r="F447" t="s">
        <v>36</v>
      </c>
      <c r="G447" s="1">
        <v>45735</v>
      </c>
      <c r="H447" s="1">
        <v>45739</v>
      </c>
      <c r="I447" s="4">
        <v>106351</v>
      </c>
      <c r="J447" t="s">
        <v>28</v>
      </c>
      <c r="K447" t="s">
        <v>29</v>
      </c>
      <c r="L447" t="s">
        <v>21</v>
      </c>
      <c r="M447" t="s">
        <v>38</v>
      </c>
      <c r="N447">
        <v>3</v>
      </c>
      <c r="X447">
        <v>3</v>
      </c>
      <c r="AB447" t="str">
        <f t="shared" si="6"/>
        <v>Mar</v>
      </c>
    </row>
    <row r="448" spans="1:28" x14ac:dyDescent="0.35">
      <c r="A448" t="s">
        <v>496</v>
      </c>
      <c r="B448">
        <v>62</v>
      </c>
      <c r="C448" t="s">
        <v>15</v>
      </c>
      <c r="D448" t="s">
        <v>53</v>
      </c>
      <c r="E448" t="s">
        <v>17</v>
      </c>
      <c r="F448" t="s">
        <v>56</v>
      </c>
      <c r="G448" s="1">
        <v>45535</v>
      </c>
      <c r="H448" s="1">
        <v>45550</v>
      </c>
      <c r="I448" s="4">
        <v>195783</v>
      </c>
      <c r="J448" t="s">
        <v>37</v>
      </c>
      <c r="K448" t="s">
        <v>20</v>
      </c>
      <c r="L448" t="s">
        <v>33</v>
      </c>
      <c r="M448" t="s">
        <v>22</v>
      </c>
      <c r="N448">
        <v>4</v>
      </c>
      <c r="X448">
        <v>8</v>
      </c>
      <c r="AB448" t="str">
        <f t="shared" si="6"/>
        <v>Aug</v>
      </c>
    </row>
    <row r="449" spans="1:28" x14ac:dyDescent="0.35">
      <c r="A449" t="s">
        <v>497</v>
      </c>
      <c r="B449">
        <v>43</v>
      </c>
      <c r="C449" t="s">
        <v>15</v>
      </c>
      <c r="D449" t="s">
        <v>58</v>
      </c>
      <c r="E449" t="s">
        <v>17</v>
      </c>
      <c r="F449" t="s">
        <v>56</v>
      </c>
      <c r="G449" s="1">
        <v>45760</v>
      </c>
      <c r="H449" s="1">
        <v>45765</v>
      </c>
      <c r="I449" s="4">
        <v>149223</v>
      </c>
      <c r="J449" t="s">
        <v>28</v>
      </c>
      <c r="K449" t="s">
        <v>63</v>
      </c>
      <c r="L449" t="s">
        <v>43</v>
      </c>
      <c r="M449" t="s">
        <v>22</v>
      </c>
      <c r="N449">
        <v>4</v>
      </c>
      <c r="X449">
        <v>4</v>
      </c>
      <c r="AB449" t="str">
        <f t="shared" si="6"/>
        <v>Apr</v>
      </c>
    </row>
    <row r="450" spans="1:28" x14ac:dyDescent="0.35">
      <c r="A450" t="s">
        <v>498</v>
      </c>
      <c r="B450">
        <v>80</v>
      </c>
      <c r="C450" t="s">
        <v>15</v>
      </c>
      <c r="D450" t="s">
        <v>53</v>
      </c>
      <c r="E450" t="s">
        <v>17</v>
      </c>
      <c r="F450" t="s">
        <v>41</v>
      </c>
      <c r="G450" s="1">
        <v>45408</v>
      </c>
      <c r="H450" s="1">
        <v>45428</v>
      </c>
      <c r="I450" s="4">
        <v>227569</v>
      </c>
      <c r="J450" t="s">
        <v>19</v>
      </c>
      <c r="K450" t="s">
        <v>42</v>
      </c>
      <c r="L450" t="s">
        <v>43</v>
      </c>
      <c r="M450" t="s">
        <v>22</v>
      </c>
      <c r="N450">
        <v>2</v>
      </c>
      <c r="X450">
        <v>4</v>
      </c>
      <c r="AB450" t="str">
        <f t="shared" si="6"/>
        <v>Apr</v>
      </c>
    </row>
    <row r="451" spans="1:28" x14ac:dyDescent="0.35">
      <c r="A451" t="s">
        <v>499</v>
      </c>
      <c r="B451">
        <v>41</v>
      </c>
      <c r="C451" t="s">
        <v>24</v>
      </c>
      <c r="D451" t="s">
        <v>53</v>
      </c>
      <c r="E451" t="s">
        <v>40</v>
      </c>
      <c r="F451" t="s">
        <v>18</v>
      </c>
      <c r="G451" s="1">
        <v>45835</v>
      </c>
      <c r="H451" s="1">
        <v>45852</v>
      </c>
      <c r="I451" s="4">
        <v>132434</v>
      </c>
      <c r="J451" t="s">
        <v>61</v>
      </c>
      <c r="K451" t="s">
        <v>20</v>
      </c>
      <c r="L451" t="s">
        <v>46</v>
      </c>
      <c r="M451" t="s">
        <v>22</v>
      </c>
      <c r="N451">
        <v>3</v>
      </c>
      <c r="X451">
        <v>6</v>
      </c>
      <c r="AB451" t="str">
        <f t="shared" ref="AB451:AB514" si="7">TEXT(G451,"mmm")</f>
        <v>Jun</v>
      </c>
    </row>
    <row r="452" spans="1:28" x14ac:dyDescent="0.35">
      <c r="A452" t="s">
        <v>500</v>
      </c>
      <c r="B452">
        <v>53</v>
      </c>
      <c r="C452" t="s">
        <v>15</v>
      </c>
      <c r="D452" t="s">
        <v>16</v>
      </c>
      <c r="E452" t="s">
        <v>26</v>
      </c>
      <c r="F452" t="s">
        <v>36</v>
      </c>
      <c r="G452" s="1">
        <v>45902</v>
      </c>
      <c r="H452" s="1">
        <v>45906</v>
      </c>
      <c r="I452" s="4">
        <v>185955</v>
      </c>
      <c r="J452" t="s">
        <v>61</v>
      </c>
      <c r="K452" t="s">
        <v>42</v>
      </c>
      <c r="L452" t="s">
        <v>46</v>
      </c>
      <c r="M452" t="s">
        <v>22</v>
      </c>
      <c r="N452">
        <v>5</v>
      </c>
      <c r="X452">
        <v>9</v>
      </c>
      <c r="AB452" t="str">
        <f t="shared" si="7"/>
        <v>Sep</v>
      </c>
    </row>
    <row r="453" spans="1:28" x14ac:dyDescent="0.35">
      <c r="A453" t="s">
        <v>501</v>
      </c>
      <c r="B453">
        <v>47</v>
      </c>
      <c r="C453" t="s">
        <v>24</v>
      </c>
      <c r="D453" t="s">
        <v>53</v>
      </c>
      <c r="E453" t="s">
        <v>17</v>
      </c>
      <c r="F453" t="s">
        <v>36</v>
      </c>
      <c r="G453" s="1">
        <v>45673</v>
      </c>
      <c r="H453" s="1">
        <v>45678</v>
      </c>
      <c r="I453" s="4">
        <v>113771</v>
      </c>
      <c r="J453" t="s">
        <v>61</v>
      </c>
      <c r="K453" t="s">
        <v>29</v>
      </c>
      <c r="L453" t="s">
        <v>21</v>
      </c>
      <c r="M453" t="s">
        <v>64</v>
      </c>
      <c r="N453">
        <v>3</v>
      </c>
      <c r="X453">
        <v>1</v>
      </c>
      <c r="AB453" t="str">
        <f t="shared" si="7"/>
        <v>Jan</v>
      </c>
    </row>
    <row r="454" spans="1:28" x14ac:dyDescent="0.35">
      <c r="A454" t="s">
        <v>502</v>
      </c>
      <c r="B454">
        <v>72</v>
      </c>
      <c r="C454" t="s">
        <v>15</v>
      </c>
      <c r="D454" t="s">
        <v>53</v>
      </c>
      <c r="E454" t="s">
        <v>35</v>
      </c>
      <c r="F454" t="s">
        <v>36</v>
      </c>
      <c r="G454" s="1">
        <v>45608</v>
      </c>
      <c r="H454" s="1">
        <v>45621</v>
      </c>
      <c r="I454" s="4">
        <v>234906</v>
      </c>
      <c r="J454" t="s">
        <v>37</v>
      </c>
      <c r="K454" t="s">
        <v>63</v>
      </c>
      <c r="L454" t="s">
        <v>46</v>
      </c>
      <c r="M454" t="s">
        <v>64</v>
      </c>
      <c r="N454">
        <v>2</v>
      </c>
      <c r="X454">
        <v>11</v>
      </c>
      <c r="AB454" t="str">
        <f t="shared" si="7"/>
        <v>Nov</v>
      </c>
    </row>
    <row r="455" spans="1:28" x14ac:dyDescent="0.35">
      <c r="A455" t="s">
        <v>503</v>
      </c>
      <c r="B455">
        <v>65</v>
      </c>
      <c r="C455" t="s">
        <v>24</v>
      </c>
      <c r="D455" t="s">
        <v>16</v>
      </c>
      <c r="E455" t="s">
        <v>51</v>
      </c>
      <c r="F455" t="s">
        <v>36</v>
      </c>
      <c r="G455" s="1">
        <v>46020</v>
      </c>
      <c r="H455" s="1">
        <v>46024</v>
      </c>
      <c r="I455" s="4">
        <v>116988</v>
      </c>
      <c r="J455" t="s">
        <v>61</v>
      </c>
      <c r="K455" t="s">
        <v>20</v>
      </c>
      <c r="L455" t="s">
        <v>46</v>
      </c>
      <c r="M455" t="s">
        <v>22</v>
      </c>
      <c r="N455">
        <v>1</v>
      </c>
      <c r="X455">
        <v>12</v>
      </c>
      <c r="AB455" t="str">
        <f t="shared" si="7"/>
        <v>Dec</v>
      </c>
    </row>
    <row r="456" spans="1:28" x14ac:dyDescent="0.35">
      <c r="A456" t="s">
        <v>504</v>
      </c>
      <c r="B456">
        <v>45</v>
      </c>
      <c r="C456" t="s">
        <v>15</v>
      </c>
      <c r="D456" t="s">
        <v>45</v>
      </c>
      <c r="E456" t="s">
        <v>26</v>
      </c>
      <c r="F456" t="s">
        <v>56</v>
      </c>
      <c r="G456" s="1">
        <v>45431</v>
      </c>
      <c r="H456" s="1">
        <v>45443</v>
      </c>
      <c r="I456" s="4">
        <v>233944</v>
      </c>
      <c r="J456" t="s">
        <v>19</v>
      </c>
      <c r="K456" t="s">
        <v>63</v>
      </c>
      <c r="L456" t="s">
        <v>33</v>
      </c>
      <c r="M456" t="s">
        <v>38</v>
      </c>
      <c r="N456">
        <v>2</v>
      </c>
      <c r="X456">
        <v>5</v>
      </c>
      <c r="AB456" t="str">
        <f t="shared" si="7"/>
        <v>May</v>
      </c>
    </row>
    <row r="457" spans="1:28" x14ac:dyDescent="0.35">
      <c r="A457" t="s">
        <v>505</v>
      </c>
      <c r="B457">
        <v>32</v>
      </c>
      <c r="C457" t="s">
        <v>15</v>
      </c>
      <c r="D457" t="s">
        <v>31</v>
      </c>
      <c r="E457" t="s">
        <v>32</v>
      </c>
      <c r="F457" t="s">
        <v>56</v>
      </c>
      <c r="G457" s="1">
        <v>45594</v>
      </c>
      <c r="H457" s="1">
        <v>45607</v>
      </c>
      <c r="I457" s="4">
        <v>225161</v>
      </c>
      <c r="J457" t="s">
        <v>61</v>
      </c>
      <c r="K457" t="s">
        <v>20</v>
      </c>
      <c r="L457" t="s">
        <v>33</v>
      </c>
      <c r="M457" t="s">
        <v>22</v>
      </c>
      <c r="N457">
        <v>3</v>
      </c>
      <c r="X457">
        <v>10</v>
      </c>
      <c r="AB457" t="str">
        <f t="shared" si="7"/>
        <v>Oct</v>
      </c>
    </row>
    <row r="458" spans="1:28" x14ac:dyDescent="0.35">
      <c r="A458" t="s">
        <v>506</v>
      </c>
      <c r="B458">
        <v>27</v>
      </c>
      <c r="C458" t="s">
        <v>15</v>
      </c>
      <c r="D458" t="s">
        <v>16</v>
      </c>
      <c r="E458" t="s">
        <v>32</v>
      </c>
      <c r="F458" t="s">
        <v>41</v>
      </c>
      <c r="G458" s="1">
        <v>45334</v>
      </c>
      <c r="H458" s="1">
        <v>45346</v>
      </c>
      <c r="I458" s="4">
        <v>15053</v>
      </c>
      <c r="J458" t="s">
        <v>28</v>
      </c>
      <c r="K458" t="s">
        <v>63</v>
      </c>
      <c r="L458" t="s">
        <v>43</v>
      </c>
      <c r="M458" t="s">
        <v>38</v>
      </c>
      <c r="N458">
        <v>4</v>
      </c>
      <c r="X458">
        <v>2</v>
      </c>
      <c r="AB458" t="str">
        <f t="shared" si="7"/>
        <v>Feb</v>
      </c>
    </row>
    <row r="459" spans="1:28" x14ac:dyDescent="0.35">
      <c r="A459" t="s">
        <v>507</v>
      </c>
      <c r="B459">
        <v>43</v>
      </c>
      <c r="C459" t="s">
        <v>24</v>
      </c>
      <c r="D459" t="s">
        <v>50</v>
      </c>
      <c r="E459" t="s">
        <v>40</v>
      </c>
      <c r="F459" t="s">
        <v>41</v>
      </c>
      <c r="G459" s="1">
        <v>45937</v>
      </c>
      <c r="H459" s="1">
        <v>45956</v>
      </c>
      <c r="I459" s="4">
        <v>46203</v>
      </c>
      <c r="J459" t="s">
        <v>61</v>
      </c>
      <c r="K459" t="s">
        <v>29</v>
      </c>
      <c r="L459" t="s">
        <v>48</v>
      </c>
      <c r="M459" t="s">
        <v>38</v>
      </c>
      <c r="N459">
        <v>2</v>
      </c>
      <c r="X459">
        <v>10</v>
      </c>
      <c r="AB459" t="str">
        <f t="shared" si="7"/>
        <v>Oct</v>
      </c>
    </row>
    <row r="460" spans="1:28" x14ac:dyDescent="0.35">
      <c r="A460" t="s">
        <v>508</v>
      </c>
      <c r="B460">
        <v>27</v>
      </c>
      <c r="C460" t="s">
        <v>24</v>
      </c>
      <c r="D460" t="s">
        <v>45</v>
      </c>
      <c r="E460" t="s">
        <v>32</v>
      </c>
      <c r="F460" t="s">
        <v>27</v>
      </c>
      <c r="G460" s="1">
        <v>45503</v>
      </c>
      <c r="H460" s="1">
        <v>45512</v>
      </c>
      <c r="I460" s="4">
        <v>5513</v>
      </c>
      <c r="J460" t="s">
        <v>28</v>
      </c>
      <c r="K460" t="s">
        <v>42</v>
      </c>
      <c r="L460" t="s">
        <v>48</v>
      </c>
      <c r="M460" t="s">
        <v>38</v>
      </c>
      <c r="N460">
        <v>3</v>
      </c>
      <c r="X460">
        <v>7</v>
      </c>
      <c r="AB460" t="str">
        <f t="shared" si="7"/>
        <v>Jul</v>
      </c>
    </row>
    <row r="461" spans="1:28" x14ac:dyDescent="0.35">
      <c r="A461" t="s">
        <v>509</v>
      </c>
      <c r="B461">
        <v>74</v>
      </c>
      <c r="C461" t="s">
        <v>15</v>
      </c>
      <c r="D461" t="s">
        <v>31</v>
      </c>
      <c r="E461" t="s">
        <v>40</v>
      </c>
      <c r="F461" t="s">
        <v>36</v>
      </c>
      <c r="G461" s="1">
        <v>45933</v>
      </c>
      <c r="H461" s="1">
        <v>45935</v>
      </c>
      <c r="I461" s="4">
        <v>234359</v>
      </c>
      <c r="J461" t="s">
        <v>61</v>
      </c>
      <c r="K461" t="s">
        <v>29</v>
      </c>
      <c r="L461" t="s">
        <v>33</v>
      </c>
      <c r="M461" t="s">
        <v>64</v>
      </c>
      <c r="N461">
        <v>5</v>
      </c>
      <c r="X461">
        <v>10</v>
      </c>
      <c r="AB461" t="str">
        <f t="shared" si="7"/>
        <v>Oct</v>
      </c>
    </row>
    <row r="462" spans="1:28" x14ac:dyDescent="0.35">
      <c r="A462" t="s">
        <v>510</v>
      </c>
      <c r="B462">
        <v>65</v>
      </c>
      <c r="C462" t="s">
        <v>15</v>
      </c>
      <c r="D462" t="s">
        <v>58</v>
      </c>
      <c r="E462" t="s">
        <v>40</v>
      </c>
      <c r="F462" t="s">
        <v>18</v>
      </c>
      <c r="G462" s="1">
        <v>45975</v>
      </c>
      <c r="H462" s="1">
        <v>45976</v>
      </c>
      <c r="I462" s="4">
        <v>226778</v>
      </c>
      <c r="J462" t="s">
        <v>19</v>
      </c>
      <c r="K462" t="s">
        <v>20</v>
      </c>
      <c r="L462" t="s">
        <v>48</v>
      </c>
      <c r="M462" t="s">
        <v>22</v>
      </c>
      <c r="N462">
        <v>2</v>
      </c>
      <c r="X462">
        <v>11</v>
      </c>
      <c r="AB462" t="str">
        <f t="shared" si="7"/>
        <v>Nov</v>
      </c>
    </row>
    <row r="463" spans="1:28" x14ac:dyDescent="0.35">
      <c r="A463" t="s">
        <v>511</v>
      </c>
      <c r="B463">
        <v>65</v>
      </c>
      <c r="C463" t="s">
        <v>15</v>
      </c>
      <c r="D463" t="s">
        <v>53</v>
      </c>
      <c r="E463" t="s">
        <v>51</v>
      </c>
      <c r="F463" t="s">
        <v>27</v>
      </c>
      <c r="G463" s="1">
        <v>46013</v>
      </c>
      <c r="H463" s="1">
        <v>46028</v>
      </c>
      <c r="I463" s="4">
        <v>44314</v>
      </c>
      <c r="J463" t="s">
        <v>61</v>
      </c>
      <c r="K463" t="s">
        <v>29</v>
      </c>
      <c r="L463" t="s">
        <v>21</v>
      </c>
      <c r="M463" t="s">
        <v>22</v>
      </c>
      <c r="N463">
        <v>2</v>
      </c>
      <c r="X463">
        <v>12</v>
      </c>
      <c r="AB463" t="str">
        <f t="shared" si="7"/>
        <v>Dec</v>
      </c>
    </row>
    <row r="464" spans="1:28" x14ac:dyDescent="0.35">
      <c r="A464" t="s">
        <v>512</v>
      </c>
      <c r="B464">
        <v>73</v>
      </c>
      <c r="C464" t="s">
        <v>15</v>
      </c>
      <c r="D464" t="s">
        <v>53</v>
      </c>
      <c r="E464" t="s">
        <v>26</v>
      </c>
      <c r="F464" t="s">
        <v>41</v>
      </c>
      <c r="G464" s="1">
        <v>45521</v>
      </c>
      <c r="H464" s="1">
        <v>45532</v>
      </c>
      <c r="I464" s="4">
        <v>175564</v>
      </c>
      <c r="J464" t="s">
        <v>37</v>
      </c>
      <c r="K464" t="s">
        <v>42</v>
      </c>
      <c r="L464" t="s">
        <v>46</v>
      </c>
      <c r="M464" t="s">
        <v>64</v>
      </c>
      <c r="N464">
        <v>1</v>
      </c>
      <c r="X464">
        <v>8</v>
      </c>
      <c r="AB464" t="str">
        <f t="shared" si="7"/>
        <v>Aug</v>
      </c>
    </row>
    <row r="465" spans="1:28" x14ac:dyDescent="0.35">
      <c r="A465" t="s">
        <v>513</v>
      </c>
      <c r="B465">
        <v>73</v>
      </c>
      <c r="C465" t="s">
        <v>24</v>
      </c>
      <c r="D465" t="s">
        <v>31</v>
      </c>
      <c r="E465" t="s">
        <v>51</v>
      </c>
      <c r="F465" t="s">
        <v>36</v>
      </c>
      <c r="G465" s="1">
        <v>45557</v>
      </c>
      <c r="H465" s="1">
        <v>45562</v>
      </c>
      <c r="I465" s="4">
        <v>120884</v>
      </c>
      <c r="J465" t="s">
        <v>19</v>
      </c>
      <c r="K465" t="s">
        <v>29</v>
      </c>
      <c r="L465" t="s">
        <v>43</v>
      </c>
      <c r="M465" t="s">
        <v>38</v>
      </c>
      <c r="N465">
        <v>1</v>
      </c>
      <c r="X465">
        <v>9</v>
      </c>
      <c r="AB465" t="str">
        <f t="shared" si="7"/>
        <v>Sep</v>
      </c>
    </row>
    <row r="466" spans="1:28" x14ac:dyDescent="0.35">
      <c r="A466" t="s">
        <v>514</v>
      </c>
      <c r="B466">
        <v>21</v>
      </c>
      <c r="C466" t="s">
        <v>24</v>
      </c>
      <c r="D466" t="s">
        <v>45</v>
      </c>
      <c r="E466" t="s">
        <v>32</v>
      </c>
      <c r="F466" t="s">
        <v>56</v>
      </c>
      <c r="G466" s="1">
        <v>45759</v>
      </c>
      <c r="H466" s="1">
        <v>45762</v>
      </c>
      <c r="I466" s="4">
        <v>78396</v>
      </c>
      <c r="J466" t="s">
        <v>37</v>
      </c>
      <c r="K466" t="s">
        <v>63</v>
      </c>
      <c r="L466" t="s">
        <v>43</v>
      </c>
      <c r="M466" t="s">
        <v>38</v>
      </c>
      <c r="N466">
        <v>2</v>
      </c>
      <c r="X466">
        <v>4</v>
      </c>
      <c r="AB466" t="str">
        <f t="shared" si="7"/>
        <v>Apr</v>
      </c>
    </row>
    <row r="467" spans="1:28" x14ac:dyDescent="0.35">
      <c r="A467" t="s">
        <v>515</v>
      </c>
      <c r="B467">
        <v>72</v>
      </c>
      <c r="C467" t="s">
        <v>24</v>
      </c>
      <c r="D467" t="s">
        <v>58</v>
      </c>
      <c r="E467" t="s">
        <v>26</v>
      </c>
      <c r="F467" t="s">
        <v>36</v>
      </c>
      <c r="G467" s="1">
        <v>45815</v>
      </c>
      <c r="H467" s="1">
        <v>45835</v>
      </c>
      <c r="I467" s="4">
        <v>231580</v>
      </c>
      <c r="J467" t="s">
        <v>61</v>
      </c>
      <c r="K467" t="s">
        <v>20</v>
      </c>
      <c r="L467" t="s">
        <v>33</v>
      </c>
      <c r="M467" t="s">
        <v>38</v>
      </c>
      <c r="N467">
        <v>2</v>
      </c>
      <c r="X467">
        <v>6</v>
      </c>
      <c r="AB467" t="str">
        <f t="shared" si="7"/>
        <v>Jun</v>
      </c>
    </row>
    <row r="468" spans="1:28" x14ac:dyDescent="0.35">
      <c r="A468" t="s">
        <v>516</v>
      </c>
      <c r="B468">
        <v>45</v>
      </c>
      <c r="C468" t="s">
        <v>24</v>
      </c>
      <c r="D468" t="s">
        <v>25</v>
      </c>
      <c r="E468" t="s">
        <v>32</v>
      </c>
      <c r="F468" t="s">
        <v>27</v>
      </c>
      <c r="G468" s="1">
        <v>45366</v>
      </c>
      <c r="H468" s="1">
        <v>45385</v>
      </c>
      <c r="I468" s="4">
        <v>171014</v>
      </c>
      <c r="J468" t="s">
        <v>37</v>
      </c>
      <c r="K468" t="s">
        <v>63</v>
      </c>
      <c r="L468" t="s">
        <v>48</v>
      </c>
      <c r="M468" t="s">
        <v>64</v>
      </c>
      <c r="N468">
        <v>5</v>
      </c>
      <c r="X468">
        <v>3</v>
      </c>
      <c r="AB468" t="str">
        <f t="shared" si="7"/>
        <v>Mar</v>
      </c>
    </row>
    <row r="469" spans="1:28" x14ac:dyDescent="0.35">
      <c r="A469" t="s">
        <v>517</v>
      </c>
      <c r="B469">
        <v>76</v>
      </c>
      <c r="C469" t="s">
        <v>15</v>
      </c>
      <c r="D469" t="s">
        <v>25</v>
      </c>
      <c r="E469" t="s">
        <v>32</v>
      </c>
      <c r="F469" t="s">
        <v>18</v>
      </c>
      <c r="G469" s="1">
        <v>45298</v>
      </c>
      <c r="H469" s="1">
        <v>45307</v>
      </c>
      <c r="I469" s="4">
        <v>182611</v>
      </c>
      <c r="J469" t="s">
        <v>61</v>
      </c>
      <c r="K469" t="s">
        <v>63</v>
      </c>
      <c r="L469" t="s">
        <v>43</v>
      </c>
      <c r="M469" t="s">
        <v>22</v>
      </c>
      <c r="N469">
        <v>4</v>
      </c>
      <c r="X469">
        <v>1</v>
      </c>
      <c r="AB469" t="str">
        <f t="shared" si="7"/>
        <v>Jan</v>
      </c>
    </row>
    <row r="470" spans="1:28" x14ac:dyDescent="0.35">
      <c r="A470" t="s">
        <v>518</v>
      </c>
      <c r="B470">
        <v>38</v>
      </c>
      <c r="C470" t="s">
        <v>24</v>
      </c>
      <c r="D470" t="s">
        <v>50</v>
      </c>
      <c r="E470" t="s">
        <v>35</v>
      </c>
      <c r="F470" t="s">
        <v>56</v>
      </c>
      <c r="G470" s="1">
        <v>45543</v>
      </c>
      <c r="H470" s="1">
        <v>45552</v>
      </c>
      <c r="I470" s="4">
        <v>98362</v>
      </c>
      <c r="J470" t="s">
        <v>19</v>
      </c>
      <c r="K470" t="s">
        <v>20</v>
      </c>
      <c r="L470" t="s">
        <v>43</v>
      </c>
      <c r="M470" t="s">
        <v>38</v>
      </c>
      <c r="N470">
        <v>5</v>
      </c>
      <c r="X470">
        <v>9</v>
      </c>
      <c r="AB470" t="str">
        <f t="shared" si="7"/>
        <v>Sep</v>
      </c>
    </row>
    <row r="471" spans="1:28" x14ac:dyDescent="0.35">
      <c r="A471" t="s">
        <v>519</v>
      </c>
      <c r="B471">
        <v>58</v>
      </c>
      <c r="C471" t="s">
        <v>24</v>
      </c>
      <c r="D471" t="s">
        <v>25</v>
      </c>
      <c r="E471" t="s">
        <v>51</v>
      </c>
      <c r="F471" t="s">
        <v>56</v>
      </c>
      <c r="G471" s="1">
        <v>45918</v>
      </c>
      <c r="H471" s="1">
        <v>45931</v>
      </c>
      <c r="I471" s="4">
        <v>225153</v>
      </c>
      <c r="J471" t="s">
        <v>61</v>
      </c>
      <c r="K471" t="s">
        <v>29</v>
      </c>
      <c r="L471" t="s">
        <v>33</v>
      </c>
      <c r="M471" t="s">
        <v>38</v>
      </c>
      <c r="N471">
        <v>5</v>
      </c>
      <c r="X471">
        <v>9</v>
      </c>
      <c r="AB471" t="str">
        <f t="shared" si="7"/>
        <v>Sep</v>
      </c>
    </row>
    <row r="472" spans="1:28" x14ac:dyDescent="0.35">
      <c r="A472" t="s">
        <v>520</v>
      </c>
      <c r="B472">
        <v>81</v>
      </c>
      <c r="C472" t="s">
        <v>24</v>
      </c>
      <c r="D472" t="s">
        <v>53</v>
      </c>
      <c r="E472" t="s">
        <v>51</v>
      </c>
      <c r="F472" t="s">
        <v>36</v>
      </c>
      <c r="G472" s="1">
        <v>45893</v>
      </c>
      <c r="H472" s="1">
        <v>45903</v>
      </c>
      <c r="I472" s="4">
        <v>122155</v>
      </c>
      <c r="J472" t="s">
        <v>19</v>
      </c>
      <c r="K472" t="s">
        <v>63</v>
      </c>
      <c r="L472" t="s">
        <v>46</v>
      </c>
      <c r="M472" t="s">
        <v>22</v>
      </c>
      <c r="N472">
        <v>4</v>
      </c>
      <c r="X472">
        <v>8</v>
      </c>
      <c r="AB472" t="str">
        <f t="shared" si="7"/>
        <v>Aug</v>
      </c>
    </row>
    <row r="473" spans="1:28" x14ac:dyDescent="0.35">
      <c r="A473" t="s">
        <v>521</v>
      </c>
      <c r="B473">
        <v>51</v>
      </c>
      <c r="C473" t="s">
        <v>15</v>
      </c>
      <c r="D473" t="s">
        <v>50</v>
      </c>
      <c r="E473" t="s">
        <v>35</v>
      </c>
      <c r="F473" t="s">
        <v>18</v>
      </c>
      <c r="G473" s="1">
        <v>45840</v>
      </c>
      <c r="H473" s="1">
        <v>45853</v>
      </c>
      <c r="I473" s="4">
        <v>177679</v>
      </c>
      <c r="J473" t="s">
        <v>28</v>
      </c>
      <c r="K473" t="s">
        <v>63</v>
      </c>
      <c r="L473" t="s">
        <v>46</v>
      </c>
      <c r="M473" t="s">
        <v>38</v>
      </c>
      <c r="N473">
        <v>1</v>
      </c>
      <c r="X473">
        <v>7</v>
      </c>
      <c r="AB473" t="str">
        <f t="shared" si="7"/>
        <v>Jul</v>
      </c>
    </row>
    <row r="474" spans="1:28" x14ac:dyDescent="0.35">
      <c r="A474" t="s">
        <v>522</v>
      </c>
      <c r="B474">
        <v>70</v>
      </c>
      <c r="C474" t="s">
        <v>15</v>
      </c>
      <c r="D474" t="s">
        <v>25</v>
      </c>
      <c r="E474" t="s">
        <v>26</v>
      </c>
      <c r="F474" t="s">
        <v>36</v>
      </c>
      <c r="G474" s="1">
        <v>45978</v>
      </c>
      <c r="H474" s="1">
        <v>45995</v>
      </c>
      <c r="I474" s="4">
        <v>55639</v>
      </c>
      <c r="J474" t="s">
        <v>19</v>
      </c>
      <c r="K474" t="s">
        <v>63</v>
      </c>
      <c r="L474" t="s">
        <v>48</v>
      </c>
      <c r="M474" t="s">
        <v>64</v>
      </c>
      <c r="N474">
        <v>4</v>
      </c>
      <c r="X474">
        <v>11</v>
      </c>
      <c r="AB474" t="str">
        <f t="shared" si="7"/>
        <v>Nov</v>
      </c>
    </row>
    <row r="475" spans="1:28" x14ac:dyDescent="0.35">
      <c r="A475" t="s">
        <v>523</v>
      </c>
      <c r="B475">
        <v>52</v>
      </c>
      <c r="C475" t="s">
        <v>15</v>
      </c>
      <c r="D475" t="s">
        <v>45</v>
      </c>
      <c r="E475" t="s">
        <v>26</v>
      </c>
      <c r="F475" t="s">
        <v>18</v>
      </c>
      <c r="G475" s="1">
        <v>45588</v>
      </c>
      <c r="H475" s="1">
        <v>45608</v>
      </c>
      <c r="I475" s="4">
        <v>117079</v>
      </c>
      <c r="J475" t="s">
        <v>28</v>
      </c>
      <c r="K475" t="s">
        <v>29</v>
      </c>
      <c r="L475" t="s">
        <v>46</v>
      </c>
      <c r="M475" t="s">
        <v>22</v>
      </c>
      <c r="N475">
        <v>5</v>
      </c>
      <c r="X475">
        <v>10</v>
      </c>
      <c r="AB475" t="str">
        <f t="shared" si="7"/>
        <v>Oct</v>
      </c>
    </row>
    <row r="476" spans="1:28" x14ac:dyDescent="0.35">
      <c r="A476" t="s">
        <v>524</v>
      </c>
      <c r="B476">
        <v>31</v>
      </c>
      <c r="C476" t="s">
        <v>15</v>
      </c>
      <c r="D476" t="s">
        <v>53</v>
      </c>
      <c r="E476" t="s">
        <v>26</v>
      </c>
      <c r="F476" t="s">
        <v>18</v>
      </c>
      <c r="G476" s="1">
        <v>45859</v>
      </c>
      <c r="H476" s="1">
        <v>45873</v>
      </c>
      <c r="I476" s="4">
        <v>153519</v>
      </c>
      <c r="J476" t="s">
        <v>61</v>
      </c>
      <c r="K476" t="s">
        <v>63</v>
      </c>
      <c r="L476" t="s">
        <v>33</v>
      </c>
      <c r="M476" t="s">
        <v>22</v>
      </c>
      <c r="N476">
        <v>4</v>
      </c>
      <c r="X476">
        <v>7</v>
      </c>
      <c r="AB476" t="str">
        <f t="shared" si="7"/>
        <v>Jul</v>
      </c>
    </row>
    <row r="477" spans="1:28" x14ac:dyDescent="0.35">
      <c r="A477" t="s">
        <v>525</v>
      </c>
      <c r="B477">
        <v>61</v>
      </c>
      <c r="C477" t="s">
        <v>15</v>
      </c>
      <c r="D477" t="s">
        <v>45</v>
      </c>
      <c r="E477" t="s">
        <v>35</v>
      </c>
      <c r="F477" t="s">
        <v>18</v>
      </c>
      <c r="G477" s="1">
        <v>45465</v>
      </c>
      <c r="H477" s="1">
        <v>45481</v>
      </c>
      <c r="I477" s="4">
        <v>230335</v>
      </c>
      <c r="J477" t="s">
        <v>37</v>
      </c>
      <c r="K477" t="s">
        <v>42</v>
      </c>
      <c r="L477" t="s">
        <v>48</v>
      </c>
      <c r="M477" t="s">
        <v>22</v>
      </c>
      <c r="N477">
        <v>1</v>
      </c>
      <c r="X477">
        <v>6</v>
      </c>
      <c r="AB477" t="str">
        <f t="shared" si="7"/>
        <v>Jun</v>
      </c>
    </row>
    <row r="478" spans="1:28" x14ac:dyDescent="0.35">
      <c r="A478" t="s">
        <v>526</v>
      </c>
      <c r="B478">
        <v>68</v>
      </c>
      <c r="C478" t="s">
        <v>15</v>
      </c>
      <c r="D478" t="s">
        <v>31</v>
      </c>
      <c r="E478" t="s">
        <v>32</v>
      </c>
      <c r="F478" t="s">
        <v>36</v>
      </c>
      <c r="G478" s="1">
        <v>45486</v>
      </c>
      <c r="H478" s="1">
        <v>45505</v>
      </c>
      <c r="I478" s="4">
        <v>189253</v>
      </c>
      <c r="J478" t="s">
        <v>61</v>
      </c>
      <c r="K478" t="s">
        <v>20</v>
      </c>
      <c r="L478" t="s">
        <v>21</v>
      </c>
      <c r="M478" t="s">
        <v>38</v>
      </c>
      <c r="N478">
        <v>3</v>
      </c>
      <c r="X478">
        <v>7</v>
      </c>
      <c r="AB478" t="str">
        <f t="shared" si="7"/>
        <v>Jul</v>
      </c>
    </row>
    <row r="479" spans="1:28" x14ac:dyDescent="0.35">
      <c r="A479" t="s">
        <v>527</v>
      </c>
      <c r="B479">
        <v>35</v>
      </c>
      <c r="C479" t="s">
        <v>24</v>
      </c>
      <c r="D479" t="s">
        <v>25</v>
      </c>
      <c r="E479" t="s">
        <v>26</v>
      </c>
      <c r="F479" t="s">
        <v>18</v>
      </c>
      <c r="G479" s="1">
        <v>45723</v>
      </c>
      <c r="H479" s="1">
        <v>45724</v>
      </c>
      <c r="I479" s="4">
        <v>46531</v>
      </c>
      <c r="J479" t="s">
        <v>37</v>
      </c>
      <c r="K479" t="s">
        <v>29</v>
      </c>
      <c r="L479" t="s">
        <v>43</v>
      </c>
      <c r="M479" t="s">
        <v>38</v>
      </c>
      <c r="N479">
        <v>3</v>
      </c>
      <c r="X479">
        <v>3</v>
      </c>
      <c r="AB479" t="str">
        <f t="shared" si="7"/>
        <v>Mar</v>
      </c>
    </row>
    <row r="480" spans="1:28" x14ac:dyDescent="0.35">
      <c r="A480" t="s">
        <v>528</v>
      </c>
      <c r="B480">
        <v>24</v>
      </c>
      <c r="C480" t="s">
        <v>24</v>
      </c>
      <c r="D480" t="s">
        <v>31</v>
      </c>
      <c r="E480" t="s">
        <v>40</v>
      </c>
      <c r="F480" t="s">
        <v>27</v>
      </c>
      <c r="G480" s="1">
        <v>45633</v>
      </c>
      <c r="H480" s="1">
        <v>45651</v>
      </c>
      <c r="I480" s="4">
        <v>46571</v>
      </c>
      <c r="J480" t="s">
        <v>61</v>
      </c>
      <c r="K480" t="s">
        <v>42</v>
      </c>
      <c r="L480" t="s">
        <v>46</v>
      </c>
      <c r="M480" t="s">
        <v>38</v>
      </c>
      <c r="N480">
        <v>2</v>
      </c>
      <c r="X480">
        <v>12</v>
      </c>
      <c r="AB480" t="str">
        <f t="shared" si="7"/>
        <v>Dec</v>
      </c>
    </row>
    <row r="481" spans="1:28" x14ac:dyDescent="0.35">
      <c r="A481" t="s">
        <v>529</v>
      </c>
      <c r="B481">
        <v>18</v>
      </c>
      <c r="C481" t="s">
        <v>24</v>
      </c>
      <c r="D481" t="s">
        <v>25</v>
      </c>
      <c r="E481" t="s">
        <v>17</v>
      </c>
      <c r="F481" t="s">
        <v>27</v>
      </c>
      <c r="G481" s="1">
        <v>45887</v>
      </c>
      <c r="H481" s="1">
        <v>45900</v>
      </c>
      <c r="I481" s="4">
        <v>107518</v>
      </c>
      <c r="J481" t="s">
        <v>19</v>
      </c>
      <c r="K481" t="s">
        <v>63</v>
      </c>
      <c r="L481" t="s">
        <v>48</v>
      </c>
      <c r="M481" t="s">
        <v>38</v>
      </c>
      <c r="N481">
        <v>5</v>
      </c>
      <c r="X481">
        <v>8</v>
      </c>
      <c r="AB481" t="str">
        <f t="shared" si="7"/>
        <v>Aug</v>
      </c>
    </row>
    <row r="482" spans="1:28" x14ac:dyDescent="0.35">
      <c r="A482" t="s">
        <v>530</v>
      </c>
      <c r="B482">
        <v>83</v>
      </c>
      <c r="C482" t="s">
        <v>24</v>
      </c>
      <c r="D482" t="s">
        <v>58</v>
      </c>
      <c r="E482" t="s">
        <v>51</v>
      </c>
      <c r="F482" t="s">
        <v>41</v>
      </c>
      <c r="G482" s="1">
        <v>45322</v>
      </c>
      <c r="H482" s="1">
        <v>45329</v>
      </c>
      <c r="I482" s="4">
        <v>113360</v>
      </c>
      <c r="J482" t="s">
        <v>19</v>
      </c>
      <c r="K482" t="s">
        <v>20</v>
      </c>
      <c r="L482" t="s">
        <v>21</v>
      </c>
      <c r="M482" t="s">
        <v>38</v>
      </c>
      <c r="N482">
        <v>1</v>
      </c>
      <c r="X482">
        <v>1</v>
      </c>
      <c r="AB482" t="str">
        <f t="shared" si="7"/>
        <v>Jan</v>
      </c>
    </row>
    <row r="483" spans="1:28" x14ac:dyDescent="0.35">
      <c r="A483" t="s">
        <v>531</v>
      </c>
      <c r="B483">
        <v>43</v>
      </c>
      <c r="C483" t="s">
        <v>15</v>
      </c>
      <c r="D483" t="s">
        <v>31</v>
      </c>
      <c r="E483" t="s">
        <v>26</v>
      </c>
      <c r="F483" t="s">
        <v>27</v>
      </c>
      <c r="G483" s="1">
        <v>45686</v>
      </c>
      <c r="H483" s="1">
        <v>45703</v>
      </c>
      <c r="I483" s="4">
        <v>206934</v>
      </c>
      <c r="J483" t="s">
        <v>37</v>
      </c>
      <c r="K483" t="s">
        <v>20</v>
      </c>
      <c r="L483" t="s">
        <v>21</v>
      </c>
      <c r="M483" t="s">
        <v>64</v>
      </c>
      <c r="N483">
        <v>1</v>
      </c>
      <c r="X483">
        <v>1</v>
      </c>
      <c r="AB483" t="str">
        <f t="shared" si="7"/>
        <v>Jan</v>
      </c>
    </row>
    <row r="484" spans="1:28" x14ac:dyDescent="0.35">
      <c r="A484" t="s">
        <v>532</v>
      </c>
      <c r="B484">
        <v>24</v>
      </c>
      <c r="C484" t="s">
        <v>15</v>
      </c>
      <c r="D484" t="s">
        <v>50</v>
      </c>
      <c r="E484" t="s">
        <v>26</v>
      </c>
      <c r="F484" t="s">
        <v>36</v>
      </c>
      <c r="G484" s="1">
        <v>45639</v>
      </c>
      <c r="H484" s="1">
        <v>45640</v>
      </c>
      <c r="I484" s="4">
        <v>155736</v>
      </c>
      <c r="J484" t="s">
        <v>61</v>
      </c>
      <c r="K484" t="s">
        <v>63</v>
      </c>
      <c r="L484" t="s">
        <v>46</v>
      </c>
      <c r="M484" t="s">
        <v>38</v>
      </c>
      <c r="N484">
        <v>5</v>
      </c>
      <c r="X484">
        <v>12</v>
      </c>
      <c r="AB484" t="str">
        <f t="shared" si="7"/>
        <v>Dec</v>
      </c>
    </row>
    <row r="485" spans="1:28" x14ac:dyDescent="0.35">
      <c r="A485" t="s">
        <v>533</v>
      </c>
      <c r="B485">
        <v>41</v>
      </c>
      <c r="C485" t="s">
        <v>24</v>
      </c>
      <c r="D485" t="s">
        <v>31</v>
      </c>
      <c r="E485" t="s">
        <v>17</v>
      </c>
      <c r="F485" t="s">
        <v>18</v>
      </c>
      <c r="G485" s="1">
        <v>45736</v>
      </c>
      <c r="H485" s="1">
        <v>45742</v>
      </c>
      <c r="I485" s="4">
        <v>193668</v>
      </c>
      <c r="J485" t="s">
        <v>28</v>
      </c>
      <c r="K485" t="s">
        <v>20</v>
      </c>
      <c r="L485" t="s">
        <v>21</v>
      </c>
      <c r="M485" t="s">
        <v>22</v>
      </c>
      <c r="N485">
        <v>3</v>
      </c>
      <c r="X485">
        <v>3</v>
      </c>
      <c r="AB485" t="str">
        <f t="shared" si="7"/>
        <v>Mar</v>
      </c>
    </row>
    <row r="486" spans="1:28" x14ac:dyDescent="0.35">
      <c r="A486" t="s">
        <v>534</v>
      </c>
      <c r="B486">
        <v>29</v>
      </c>
      <c r="C486" t="s">
        <v>15</v>
      </c>
      <c r="D486" t="s">
        <v>16</v>
      </c>
      <c r="E486" t="s">
        <v>35</v>
      </c>
      <c r="F486" t="s">
        <v>36</v>
      </c>
      <c r="G486" s="1">
        <v>45664</v>
      </c>
      <c r="H486" s="1">
        <v>45672</v>
      </c>
      <c r="I486" s="4">
        <v>23543</v>
      </c>
      <c r="J486" t="s">
        <v>19</v>
      </c>
      <c r="K486" t="s">
        <v>63</v>
      </c>
      <c r="L486" t="s">
        <v>21</v>
      </c>
      <c r="M486" t="s">
        <v>64</v>
      </c>
      <c r="N486">
        <v>2</v>
      </c>
      <c r="X486">
        <v>1</v>
      </c>
      <c r="AB486" t="str">
        <f t="shared" si="7"/>
        <v>Jan</v>
      </c>
    </row>
    <row r="487" spans="1:28" x14ac:dyDescent="0.35">
      <c r="A487" t="s">
        <v>535</v>
      </c>
      <c r="B487">
        <v>47</v>
      </c>
      <c r="C487" t="s">
        <v>24</v>
      </c>
      <c r="D487" t="s">
        <v>53</v>
      </c>
      <c r="E487" t="s">
        <v>51</v>
      </c>
      <c r="F487" t="s">
        <v>18</v>
      </c>
      <c r="G487" s="1">
        <v>45768</v>
      </c>
      <c r="H487" s="1">
        <v>45787</v>
      </c>
      <c r="I487" s="4">
        <v>71817</v>
      </c>
      <c r="J487" t="s">
        <v>28</v>
      </c>
      <c r="K487" t="s">
        <v>20</v>
      </c>
      <c r="L487" t="s">
        <v>46</v>
      </c>
      <c r="M487" t="s">
        <v>64</v>
      </c>
      <c r="N487">
        <v>5</v>
      </c>
      <c r="X487">
        <v>4</v>
      </c>
      <c r="AB487" t="str">
        <f t="shared" si="7"/>
        <v>Apr</v>
      </c>
    </row>
    <row r="488" spans="1:28" x14ac:dyDescent="0.35">
      <c r="A488" t="s">
        <v>536</v>
      </c>
      <c r="B488">
        <v>29</v>
      </c>
      <c r="C488" t="s">
        <v>15</v>
      </c>
      <c r="D488" t="s">
        <v>45</v>
      </c>
      <c r="E488" t="s">
        <v>26</v>
      </c>
      <c r="F488" t="s">
        <v>41</v>
      </c>
      <c r="G488" s="1">
        <v>45594</v>
      </c>
      <c r="H488" s="1">
        <v>45606</v>
      </c>
      <c r="I488" s="4">
        <v>60352</v>
      </c>
      <c r="J488" t="s">
        <v>61</v>
      </c>
      <c r="K488" t="s">
        <v>63</v>
      </c>
      <c r="L488" t="s">
        <v>21</v>
      </c>
      <c r="M488" t="s">
        <v>64</v>
      </c>
      <c r="N488">
        <v>1</v>
      </c>
      <c r="X488">
        <v>10</v>
      </c>
      <c r="AB488" t="str">
        <f t="shared" si="7"/>
        <v>Oct</v>
      </c>
    </row>
    <row r="489" spans="1:28" x14ac:dyDescent="0.35">
      <c r="A489" t="s">
        <v>537</v>
      </c>
      <c r="B489">
        <v>51</v>
      </c>
      <c r="C489" t="s">
        <v>24</v>
      </c>
      <c r="D489" t="s">
        <v>58</v>
      </c>
      <c r="E489" t="s">
        <v>32</v>
      </c>
      <c r="F489" t="s">
        <v>18</v>
      </c>
      <c r="G489" s="1">
        <v>45919</v>
      </c>
      <c r="H489" s="1">
        <v>45927</v>
      </c>
      <c r="I489" s="4">
        <v>96716</v>
      </c>
      <c r="J489" t="s">
        <v>61</v>
      </c>
      <c r="K489" t="s">
        <v>63</v>
      </c>
      <c r="L489" t="s">
        <v>33</v>
      </c>
      <c r="M489" t="s">
        <v>64</v>
      </c>
      <c r="N489">
        <v>5</v>
      </c>
      <c r="X489">
        <v>9</v>
      </c>
      <c r="AB489" t="str">
        <f t="shared" si="7"/>
        <v>Sep</v>
      </c>
    </row>
    <row r="490" spans="1:28" x14ac:dyDescent="0.35">
      <c r="A490" t="s">
        <v>538</v>
      </c>
      <c r="B490">
        <v>54</v>
      </c>
      <c r="C490" t="s">
        <v>15</v>
      </c>
      <c r="D490" t="s">
        <v>25</v>
      </c>
      <c r="E490" t="s">
        <v>26</v>
      </c>
      <c r="F490" t="s">
        <v>27</v>
      </c>
      <c r="G490" s="1">
        <v>45411</v>
      </c>
      <c r="H490" s="1">
        <v>45426</v>
      </c>
      <c r="I490" s="4">
        <v>178005</v>
      </c>
      <c r="J490" t="s">
        <v>28</v>
      </c>
      <c r="K490" t="s">
        <v>29</v>
      </c>
      <c r="L490" t="s">
        <v>48</v>
      </c>
      <c r="M490" t="s">
        <v>64</v>
      </c>
      <c r="N490">
        <v>5</v>
      </c>
      <c r="X490">
        <v>4</v>
      </c>
      <c r="AB490" t="str">
        <f t="shared" si="7"/>
        <v>Apr</v>
      </c>
    </row>
    <row r="491" spans="1:28" x14ac:dyDescent="0.35">
      <c r="A491" t="s">
        <v>539</v>
      </c>
      <c r="B491">
        <v>47</v>
      </c>
      <c r="C491" t="s">
        <v>24</v>
      </c>
      <c r="D491" t="s">
        <v>50</v>
      </c>
      <c r="E491" t="s">
        <v>35</v>
      </c>
      <c r="F491" t="s">
        <v>56</v>
      </c>
      <c r="G491" s="1">
        <v>45819</v>
      </c>
      <c r="H491" s="1">
        <v>45834</v>
      </c>
      <c r="I491" s="4">
        <v>208248</v>
      </c>
      <c r="J491" t="s">
        <v>37</v>
      </c>
      <c r="K491" t="s">
        <v>29</v>
      </c>
      <c r="L491" t="s">
        <v>43</v>
      </c>
      <c r="M491" t="s">
        <v>64</v>
      </c>
      <c r="N491">
        <v>4</v>
      </c>
      <c r="X491">
        <v>6</v>
      </c>
      <c r="AB491" t="str">
        <f t="shared" si="7"/>
        <v>Jun</v>
      </c>
    </row>
    <row r="492" spans="1:28" x14ac:dyDescent="0.35">
      <c r="A492" t="s">
        <v>540</v>
      </c>
      <c r="B492">
        <v>60</v>
      </c>
      <c r="C492" t="s">
        <v>15</v>
      </c>
      <c r="D492" t="s">
        <v>25</v>
      </c>
      <c r="E492" t="s">
        <v>51</v>
      </c>
      <c r="F492" t="s">
        <v>18</v>
      </c>
      <c r="G492" s="1">
        <v>45485</v>
      </c>
      <c r="H492" s="1">
        <v>45494</v>
      </c>
      <c r="I492" s="4">
        <v>235237</v>
      </c>
      <c r="J492" t="s">
        <v>19</v>
      </c>
      <c r="K492" t="s">
        <v>29</v>
      </c>
      <c r="L492" t="s">
        <v>46</v>
      </c>
      <c r="M492" t="s">
        <v>22</v>
      </c>
      <c r="N492">
        <v>2</v>
      </c>
      <c r="X492">
        <v>7</v>
      </c>
      <c r="AB492" t="str">
        <f t="shared" si="7"/>
        <v>Jul</v>
      </c>
    </row>
    <row r="493" spans="1:28" x14ac:dyDescent="0.35">
      <c r="A493" t="s">
        <v>541</v>
      </c>
      <c r="B493">
        <v>54</v>
      </c>
      <c r="C493" t="s">
        <v>15</v>
      </c>
      <c r="D493" t="s">
        <v>25</v>
      </c>
      <c r="E493" t="s">
        <v>17</v>
      </c>
      <c r="F493" t="s">
        <v>18</v>
      </c>
      <c r="G493" s="1">
        <v>45744</v>
      </c>
      <c r="H493" s="1">
        <v>45759</v>
      </c>
      <c r="I493" s="4">
        <v>133053</v>
      </c>
      <c r="J493" t="s">
        <v>61</v>
      </c>
      <c r="K493" t="s">
        <v>20</v>
      </c>
      <c r="L493" t="s">
        <v>33</v>
      </c>
      <c r="M493" t="s">
        <v>64</v>
      </c>
      <c r="N493">
        <v>1</v>
      </c>
      <c r="X493">
        <v>3</v>
      </c>
      <c r="AB493" t="str">
        <f t="shared" si="7"/>
        <v>Mar</v>
      </c>
    </row>
    <row r="494" spans="1:28" x14ac:dyDescent="0.35">
      <c r="A494" t="s">
        <v>542</v>
      </c>
      <c r="B494">
        <v>64</v>
      </c>
      <c r="C494" t="s">
        <v>15</v>
      </c>
      <c r="D494" t="s">
        <v>58</v>
      </c>
      <c r="E494" t="s">
        <v>17</v>
      </c>
      <c r="F494" t="s">
        <v>27</v>
      </c>
      <c r="G494" s="1">
        <v>45442</v>
      </c>
      <c r="H494" s="1">
        <v>45447</v>
      </c>
      <c r="I494" s="4">
        <v>172055</v>
      </c>
      <c r="J494" t="s">
        <v>28</v>
      </c>
      <c r="K494" t="s">
        <v>42</v>
      </c>
      <c r="L494" t="s">
        <v>21</v>
      </c>
      <c r="M494" t="s">
        <v>64</v>
      </c>
      <c r="N494">
        <v>5</v>
      </c>
      <c r="X494">
        <v>5</v>
      </c>
      <c r="AB494" t="str">
        <f t="shared" si="7"/>
        <v>May</v>
      </c>
    </row>
    <row r="495" spans="1:28" x14ac:dyDescent="0.35">
      <c r="A495" t="s">
        <v>543</v>
      </c>
      <c r="B495">
        <v>30</v>
      </c>
      <c r="C495" t="s">
        <v>24</v>
      </c>
      <c r="D495" t="s">
        <v>45</v>
      </c>
      <c r="E495" t="s">
        <v>40</v>
      </c>
      <c r="F495" t="s">
        <v>18</v>
      </c>
      <c r="G495" s="1">
        <v>45412</v>
      </c>
      <c r="H495" s="1">
        <v>45413</v>
      </c>
      <c r="I495" s="4">
        <v>51476</v>
      </c>
      <c r="J495" t="s">
        <v>19</v>
      </c>
      <c r="K495" t="s">
        <v>29</v>
      </c>
      <c r="L495" t="s">
        <v>48</v>
      </c>
      <c r="M495" t="s">
        <v>22</v>
      </c>
      <c r="N495">
        <v>4</v>
      </c>
      <c r="X495">
        <v>4</v>
      </c>
      <c r="AB495" t="str">
        <f t="shared" si="7"/>
        <v>Apr</v>
      </c>
    </row>
    <row r="496" spans="1:28" x14ac:dyDescent="0.35">
      <c r="A496" t="s">
        <v>544</v>
      </c>
      <c r="B496">
        <v>42</v>
      </c>
      <c r="C496" t="s">
        <v>15</v>
      </c>
      <c r="D496" t="s">
        <v>25</v>
      </c>
      <c r="E496" t="s">
        <v>26</v>
      </c>
      <c r="F496" t="s">
        <v>41</v>
      </c>
      <c r="G496" s="1">
        <v>45955</v>
      </c>
      <c r="H496" s="1">
        <v>45956</v>
      </c>
      <c r="I496" s="4">
        <v>218837</v>
      </c>
      <c r="J496" t="s">
        <v>61</v>
      </c>
      <c r="K496" t="s">
        <v>20</v>
      </c>
      <c r="L496" t="s">
        <v>48</v>
      </c>
      <c r="M496" t="s">
        <v>22</v>
      </c>
      <c r="N496">
        <v>2</v>
      </c>
      <c r="X496">
        <v>10</v>
      </c>
      <c r="AB496" t="str">
        <f t="shared" si="7"/>
        <v>Oct</v>
      </c>
    </row>
    <row r="497" spans="1:28" x14ac:dyDescent="0.35">
      <c r="A497" t="s">
        <v>545</v>
      </c>
      <c r="B497">
        <v>54</v>
      </c>
      <c r="C497" t="s">
        <v>24</v>
      </c>
      <c r="D497" t="s">
        <v>25</v>
      </c>
      <c r="E497" t="s">
        <v>51</v>
      </c>
      <c r="F497" t="s">
        <v>36</v>
      </c>
      <c r="G497" s="1">
        <v>45960</v>
      </c>
      <c r="H497" s="1">
        <v>45964</v>
      </c>
      <c r="I497" s="4">
        <v>8923</v>
      </c>
      <c r="J497" t="s">
        <v>37</v>
      </c>
      <c r="K497" t="s">
        <v>42</v>
      </c>
      <c r="L497" t="s">
        <v>33</v>
      </c>
      <c r="M497" t="s">
        <v>38</v>
      </c>
      <c r="N497">
        <v>2</v>
      </c>
      <c r="X497">
        <v>10</v>
      </c>
      <c r="AB497" t="str">
        <f t="shared" si="7"/>
        <v>Oct</v>
      </c>
    </row>
    <row r="498" spans="1:28" x14ac:dyDescent="0.35">
      <c r="A498" t="s">
        <v>546</v>
      </c>
      <c r="B498">
        <v>68</v>
      </c>
      <c r="C498" t="s">
        <v>15</v>
      </c>
      <c r="D498" t="s">
        <v>25</v>
      </c>
      <c r="E498" t="s">
        <v>51</v>
      </c>
      <c r="F498" t="s">
        <v>36</v>
      </c>
      <c r="G498" s="1">
        <v>45733</v>
      </c>
      <c r="H498" s="1">
        <v>45752</v>
      </c>
      <c r="I498" s="4">
        <v>70809</v>
      </c>
      <c r="J498" t="s">
        <v>37</v>
      </c>
      <c r="K498" t="s">
        <v>20</v>
      </c>
      <c r="L498" t="s">
        <v>48</v>
      </c>
      <c r="M498" t="s">
        <v>22</v>
      </c>
      <c r="N498">
        <v>1</v>
      </c>
      <c r="X498">
        <v>3</v>
      </c>
      <c r="AB498" t="str">
        <f t="shared" si="7"/>
        <v>Mar</v>
      </c>
    </row>
    <row r="499" spans="1:28" x14ac:dyDescent="0.35">
      <c r="A499" t="s">
        <v>547</v>
      </c>
      <c r="B499">
        <v>76</v>
      </c>
      <c r="C499" t="s">
        <v>15</v>
      </c>
      <c r="D499" t="s">
        <v>45</v>
      </c>
      <c r="E499" t="s">
        <v>35</v>
      </c>
      <c r="F499" t="s">
        <v>41</v>
      </c>
      <c r="G499" s="1">
        <v>45741</v>
      </c>
      <c r="H499" s="1">
        <v>45742</v>
      </c>
      <c r="I499" s="4">
        <v>150158</v>
      </c>
      <c r="J499" t="s">
        <v>19</v>
      </c>
      <c r="K499" t="s">
        <v>63</v>
      </c>
      <c r="L499" t="s">
        <v>21</v>
      </c>
      <c r="M499" t="s">
        <v>64</v>
      </c>
      <c r="N499">
        <v>1</v>
      </c>
      <c r="X499">
        <v>3</v>
      </c>
      <c r="AB499" t="str">
        <f t="shared" si="7"/>
        <v>Mar</v>
      </c>
    </row>
    <row r="500" spans="1:28" x14ac:dyDescent="0.35">
      <c r="A500" t="s">
        <v>548</v>
      </c>
      <c r="B500">
        <v>53</v>
      </c>
      <c r="C500" t="s">
        <v>24</v>
      </c>
      <c r="D500" t="s">
        <v>53</v>
      </c>
      <c r="E500" t="s">
        <v>26</v>
      </c>
      <c r="F500" t="s">
        <v>56</v>
      </c>
      <c r="G500" s="1">
        <v>45467</v>
      </c>
      <c r="H500" s="1">
        <v>45469</v>
      </c>
      <c r="I500" s="4">
        <v>97965</v>
      </c>
      <c r="J500" t="s">
        <v>37</v>
      </c>
      <c r="K500" t="s">
        <v>20</v>
      </c>
      <c r="L500" t="s">
        <v>48</v>
      </c>
      <c r="M500" t="s">
        <v>38</v>
      </c>
      <c r="N500">
        <v>4</v>
      </c>
      <c r="X500">
        <v>6</v>
      </c>
      <c r="AB500" t="str">
        <f t="shared" si="7"/>
        <v>Jun</v>
      </c>
    </row>
    <row r="501" spans="1:28" x14ac:dyDescent="0.35">
      <c r="A501" t="s">
        <v>549</v>
      </c>
      <c r="B501">
        <v>27</v>
      </c>
      <c r="C501" t="s">
        <v>24</v>
      </c>
      <c r="D501" t="s">
        <v>53</v>
      </c>
      <c r="E501" t="s">
        <v>40</v>
      </c>
      <c r="F501" t="s">
        <v>56</v>
      </c>
      <c r="G501" s="1">
        <v>45699</v>
      </c>
      <c r="H501" s="1">
        <v>45712</v>
      </c>
      <c r="I501" s="4">
        <v>104026</v>
      </c>
      <c r="J501" t="s">
        <v>61</v>
      </c>
      <c r="K501" t="s">
        <v>20</v>
      </c>
      <c r="L501" t="s">
        <v>33</v>
      </c>
      <c r="M501" t="s">
        <v>64</v>
      </c>
      <c r="N501">
        <v>3</v>
      </c>
      <c r="X501">
        <v>2</v>
      </c>
      <c r="AB501" t="str">
        <f t="shared" si="7"/>
        <v>Feb</v>
      </c>
    </row>
    <row r="502" spans="1:28" x14ac:dyDescent="0.35">
      <c r="A502" t="s">
        <v>550</v>
      </c>
      <c r="B502">
        <v>18</v>
      </c>
      <c r="C502" t="s">
        <v>15</v>
      </c>
      <c r="D502" t="s">
        <v>25</v>
      </c>
      <c r="E502" t="s">
        <v>35</v>
      </c>
      <c r="F502" t="s">
        <v>56</v>
      </c>
      <c r="G502" s="1">
        <v>45437</v>
      </c>
      <c r="H502" s="1">
        <v>45453</v>
      </c>
      <c r="I502" s="4">
        <v>193991</v>
      </c>
      <c r="J502" t="s">
        <v>61</v>
      </c>
      <c r="K502" t="s">
        <v>42</v>
      </c>
      <c r="L502" t="s">
        <v>33</v>
      </c>
      <c r="M502" t="s">
        <v>64</v>
      </c>
      <c r="N502">
        <v>4</v>
      </c>
      <c r="X502">
        <v>5</v>
      </c>
      <c r="AB502" t="str">
        <f t="shared" si="7"/>
        <v>May</v>
      </c>
    </row>
    <row r="503" spans="1:28" x14ac:dyDescent="0.35">
      <c r="A503" t="s">
        <v>551</v>
      </c>
      <c r="B503">
        <v>71</v>
      </c>
      <c r="C503" t="s">
        <v>15</v>
      </c>
      <c r="D503" t="s">
        <v>16</v>
      </c>
      <c r="E503" t="s">
        <v>26</v>
      </c>
      <c r="F503" t="s">
        <v>18</v>
      </c>
      <c r="G503" s="1">
        <v>45468</v>
      </c>
      <c r="H503" s="1">
        <v>45471</v>
      </c>
      <c r="I503" s="4">
        <v>235369</v>
      </c>
      <c r="J503" t="s">
        <v>61</v>
      </c>
      <c r="K503" t="s">
        <v>42</v>
      </c>
      <c r="L503" t="s">
        <v>33</v>
      </c>
      <c r="M503" t="s">
        <v>38</v>
      </c>
      <c r="N503">
        <v>1</v>
      </c>
      <c r="X503">
        <v>6</v>
      </c>
      <c r="AB503" t="str">
        <f t="shared" si="7"/>
        <v>Jun</v>
      </c>
    </row>
    <row r="504" spans="1:28" x14ac:dyDescent="0.35">
      <c r="A504" t="s">
        <v>552</v>
      </c>
      <c r="B504">
        <v>59</v>
      </c>
      <c r="C504" t="s">
        <v>24</v>
      </c>
      <c r="D504" t="s">
        <v>45</v>
      </c>
      <c r="E504" t="s">
        <v>51</v>
      </c>
      <c r="F504" t="s">
        <v>27</v>
      </c>
      <c r="G504" s="1">
        <v>45370</v>
      </c>
      <c r="H504" s="1">
        <v>45387</v>
      </c>
      <c r="I504" s="4">
        <v>44384</v>
      </c>
      <c r="J504" t="s">
        <v>61</v>
      </c>
      <c r="K504" t="s">
        <v>63</v>
      </c>
      <c r="L504" t="s">
        <v>21</v>
      </c>
      <c r="M504" t="s">
        <v>22</v>
      </c>
      <c r="N504">
        <v>4</v>
      </c>
      <c r="X504">
        <v>3</v>
      </c>
      <c r="AB504" t="str">
        <f t="shared" si="7"/>
        <v>Mar</v>
      </c>
    </row>
    <row r="505" spans="1:28" x14ac:dyDescent="0.35">
      <c r="A505" t="s">
        <v>553</v>
      </c>
      <c r="B505">
        <v>45</v>
      </c>
      <c r="C505" t="s">
        <v>24</v>
      </c>
      <c r="D505" t="s">
        <v>58</v>
      </c>
      <c r="E505" t="s">
        <v>35</v>
      </c>
      <c r="F505" t="s">
        <v>18</v>
      </c>
      <c r="G505" s="1">
        <v>45852</v>
      </c>
      <c r="H505" s="1">
        <v>45855</v>
      </c>
      <c r="I505" s="4">
        <v>207108</v>
      </c>
      <c r="J505" t="s">
        <v>28</v>
      </c>
      <c r="K505" t="s">
        <v>63</v>
      </c>
      <c r="L505" t="s">
        <v>46</v>
      </c>
      <c r="M505" t="s">
        <v>22</v>
      </c>
      <c r="N505">
        <v>4</v>
      </c>
      <c r="X505">
        <v>7</v>
      </c>
      <c r="AB505" t="str">
        <f t="shared" si="7"/>
        <v>Jul</v>
      </c>
    </row>
    <row r="506" spans="1:28" x14ac:dyDescent="0.35">
      <c r="A506" t="s">
        <v>554</v>
      </c>
      <c r="B506">
        <v>46</v>
      </c>
      <c r="C506" t="s">
        <v>24</v>
      </c>
      <c r="D506" t="s">
        <v>16</v>
      </c>
      <c r="E506" t="s">
        <v>40</v>
      </c>
      <c r="F506" t="s">
        <v>56</v>
      </c>
      <c r="G506" s="1">
        <v>45854</v>
      </c>
      <c r="H506" s="1">
        <v>45865</v>
      </c>
      <c r="I506" s="4">
        <v>49377</v>
      </c>
      <c r="J506" t="s">
        <v>37</v>
      </c>
      <c r="K506" t="s">
        <v>29</v>
      </c>
      <c r="L506" t="s">
        <v>33</v>
      </c>
      <c r="M506" t="s">
        <v>64</v>
      </c>
      <c r="N506">
        <v>4</v>
      </c>
      <c r="X506">
        <v>7</v>
      </c>
      <c r="AB506" t="str">
        <f t="shared" si="7"/>
        <v>Jul</v>
      </c>
    </row>
    <row r="507" spans="1:28" x14ac:dyDescent="0.35">
      <c r="A507" t="s">
        <v>555</v>
      </c>
      <c r="B507">
        <v>68</v>
      </c>
      <c r="C507" t="s">
        <v>24</v>
      </c>
      <c r="D507" t="s">
        <v>31</v>
      </c>
      <c r="E507" t="s">
        <v>40</v>
      </c>
      <c r="F507" t="s">
        <v>41</v>
      </c>
      <c r="G507" s="1">
        <v>45901</v>
      </c>
      <c r="H507" s="1">
        <v>45914</v>
      </c>
      <c r="I507" s="4">
        <v>28441</v>
      </c>
      <c r="J507" t="s">
        <v>19</v>
      </c>
      <c r="K507" t="s">
        <v>29</v>
      </c>
      <c r="L507" t="s">
        <v>21</v>
      </c>
      <c r="M507" t="s">
        <v>22</v>
      </c>
      <c r="N507">
        <v>1</v>
      </c>
      <c r="X507">
        <v>9</v>
      </c>
      <c r="AB507" t="str">
        <f t="shared" si="7"/>
        <v>Sep</v>
      </c>
    </row>
    <row r="508" spans="1:28" x14ac:dyDescent="0.35">
      <c r="A508" t="s">
        <v>556</v>
      </c>
      <c r="B508">
        <v>76</v>
      </c>
      <c r="C508" t="s">
        <v>24</v>
      </c>
      <c r="D508" t="s">
        <v>50</v>
      </c>
      <c r="E508" t="s">
        <v>35</v>
      </c>
      <c r="F508" t="s">
        <v>36</v>
      </c>
      <c r="G508" s="1">
        <v>45398</v>
      </c>
      <c r="H508" s="1">
        <v>45407</v>
      </c>
      <c r="I508" s="4">
        <v>34661</v>
      </c>
      <c r="J508" t="s">
        <v>37</v>
      </c>
      <c r="K508" t="s">
        <v>20</v>
      </c>
      <c r="L508" t="s">
        <v>21</v>
      </c>
      <c r="M508" t="s">
        <v>64</v>
      </c>
      <c r="N508">
        <v>1</v>
      </c>
      <c r="X508">
        <v>4</v>
      </c>
      <c r="AB508" t="str">
        <f t="shared" si="7"/>
        <v>Apr</v>
      </c>
    </row>
    <row r="509" spans="1:28" x14ac:dyDescent="0.35">
      <c r="A509" t="s">
        <v>557</v>
      </c>
      <c r="B509">
        <v>20</v>
      </c>
      <c r="C509" t="s">
        <v>24</v>
      </c>
      <c r="D509" t="s">
        <v>45</v>
      </c>
      <c r="E509" t="s">
        <v>26</v>
      </c>
      <c r="F509" t="s">
        <v>36</v>
      </c>
      <c r="G509" s="1">
        <v>45534</v>
      </c>
      <c r="H509" s="1">
        <v>45551</v>
      </c>
      <c r="I509" s="4">
        <v>105641</v>
      </c>
      <c r="J509" t="s">
        <v>19</v>
      </c>
      <c r="K509" t="s">
        <v>42</v>
      </c>
      <c r="L509" t="s">
        <v>48</v>
      </c>
      <c r="M509" t="s">
        <v>38</v>
      </c>
      <c r="N509">
        <v>5</v>
      </c>
      <c r="X509">
        <v>8</v>
      </c>
      <c r="AB509" t="str">
        <f t="shared" si="7"/>
        <v>Aug</v>
      </c>
    </row>
    <row r="510" spans="1:28" x14ac:dyDescent="0.35">
      <c r="A510" t="s">
        <v>558</v>
      </c>
      <c r="B510">
        <v>48</v>
      </c>
      <c r="C510" t="s">
        <v>24</v>
      </c>
      <c r="D510" t="s">
        <v>31</v>
      </c>
      <c r="E510" t="s">
        <v>17</v>
      </c>
      <c r="F510" t="s">
        <v>41</v>
      </c>
      <c r="G510" s="1">
        <v>45626</v>
      </c>
      <c r="H510" s="1">
        <v>45639</v>
      </c>
      <c r="I510" s="4">
        <v>35863</v>
      </c>
      <c r="J510" t="s">
        <v>37</v>
      </c>
      <c r="K510" t="s">
        <v>29</v>
      </c>
      <c r="L510" t="s">
        <v>33</v>
      </c>
      <c r="M510" t="s">
        <v>38</v>
      </c>
      <c r="N510">
        <v>3</v>
      </c>
      <c r="X510">
        <v>11</v>
      </c>
      <c r="AB510" t="str">
        <f t="shared" si="7"/>
        <v>Nov</v>
      </c>
    </row>
    <row r="511" spans="1:28" x14ac:dyDescent="0.35">
      <c r="A511" t="s">
        <v>559</v>
      </c>
      <c r="B511">
        <v>18</v>
      </c>
      <c r="C511" t="s">
        <v>15</v>
      </c>
      <c r="D511" t="s">
        <v>45</v>
      </c>
      <c r="E511" t="s">
        <v>32</v>
      </c>
      <c r="F511" t="s">
        <v>41</v>
      </c>
      <c r="G511" s="1">
        <v>45433</v>
      </c>
      <c r="H511" s="1">
        <v>45438</v>
      </c>
      <c r="I511" s="4">
        <v>190215</v>
      </c>
      <c r="J511" t="s">
        <v>37</v>
      </c>
      <c r="K511" t="s">
        <v>42</v>
      </c>
      <c r="L511" t="s">
        <v>21</v>
      </c>
      <c r="M511" t="s">
        <v>38</v>
      </c>
      <c r="N511">
        <v>3</v>
      </c>
      <c r="X511">
        <v>5</v>
      </c>
      <c r="AB511" t="str">
        <f t="shared" si="7"/>
        <v>May</v>
      </c>
    </row>
    <row r="512" spans="1:28" x14ac:dyDescent="0.35">
      <c r="A512" t="s">
        <v>560</v>
      </c>
      <c r="B512">
        <v>30</v>
      </c>
      <c r="C512" t="s">
        <v>24</v>
      </c>
      <c r="D512" t="s">
        <v>53</v>
      </c>
      <c r="E512" t="s">
        <v>26</v>
      </c>
      <c r="F512" t="s">
        <v>36</v>
      </c>
      <c r="G512" s="1">
        <v>45589</v>
      </c>
      <c r="H512" s="1">
        <v>45606</v>
      </c>
      <c r="I512" s="4">
        <v>188163</v>
      </c>
      <c r="J512" t="s">
        <v>37</v>
      </c>
      <c r="K512" t="s">
        <v>42</v>
      </c>
      <c r="L512" t="s">
        <v>33</v>
      </c>
      <c r="M512" t="s">
        <v>64</v>
      </c>
      <c r="N512">
        <v>1</v>
      </c>
      <c r="X512">
        <v>10</v>
      </c>
      <c r="AB512" t="str">
        <f t="shared" si="7"/>
        <v>Oct</v>
      </c>
    </row>
    <row r="513" spans="1:28" x14ac:dyDescent="0.35">
      <c r="A513" t="s">
        <v>561</v>
      </c>
      <c r="B513">
        <v>53</v>
      </c>
      <c r="C513" t="s">
        <v>24</v>
      </c>
      <c r="D513" t="s">
        <v>53</v>
      </c>
      <c r="E513" t="s">
        <v>32</v>
      </c>
      <c r="F513" t="s">
        <v>56</v>
      </c>
      <c r="G513" s="1">
        <v>45382</v>
      </c>
      <c r="H513" s="1">
        <v>45384</v>
      </c>
      <c r="I513" s="4">
        <v>98896</v>
      </c>
      <c r="J513" t="s">
        <v>61</v>
      </c>
      <c r="K513" t="s">
        <v>63</v>
      </c>
      <c r="L513" t="s">
        <v>21</v>
      </c>
      <c r="M513" t="s">
        <v>38</v>
      </c>
      <c r="N513">
        <v>2</v>
      </c>
      <c r="X513">
        <v>3</v>
      </c>
      <c r="AB513" t="str">
        <f t="shared" si="7"/>
        <v>Mar</v>
      </c>
    </row>
    <row r="514" spans="1:28" x14ac:dyDescent="0.35">
      <c r="A514" t="s">
        <v>562</v>
      </c>
      <c r="B514">
        <v>74</v>
      </c>
      <c r="C514" t="s">
        <v>24</v>
      </c>
      <c r="D514" t="s">
        <v>53</v>
      </c>
      <c r="E514" t="s">
        <v>40</v>
      </c>
      <c r="F514" t="s">
        <v>27</v>
      </c>
      <c r="G514" s="1">
        <v>45369</v>
      </c>
      <c r="H514" s="1">
        <v>45381</v>
      </c>
      <c r="I514" s="4">
        <v>97955</v>
      </c>
      <c r="J514" t="s">
        <v>28</v>
      </c>
      <c r="K514" t="s">
        <v>63</v>
      </c>
      <c r="L514" t="s">
        <v>43</v>
      </c>
      <c r="M514" t="s">
        <v>22</v>
      </c>
      <c r="N514">
        <v>4</v>
      </c>
      <c r="X514">
        <v>3</v>
      </c>
      <c r="AB514" t="str">
        <f t="shared" si="7"/>
        <v>Mar</v>
      </c>
    </row>
    <row r="515" spans="1:28" x14ac:dyDescent="0.35">
      <c r="A515" t="s">
        <v>563</v>
      </c>
      <c r="B515">
        <v>60</v>
      </c>
      <c r="C515" t="s">
        <v>24</v>
      </c>
      <c r="D515" t="s">
        <v>45</v>
      </c>
      <c r="E515" t="s">
        <v>32</v>
      </c>
      <c r="F515" t="s">
        <v>27</v>
      </c>
      <c r="G515" s="1">
        <v>45530</v>
      </c>
      <c r="H515" s="1">
        <v>45539</v>
      </c>
      <c r="I515" s="4">
        <v>100176</v>
      </c>
      <c r="J515" t="s">
        <v>19</v>
      </c>
      <c r="K515" t="s">
        <v>20</v>
      </c>
      <c r="L515" t="s">
        <v>33</v>
      </c>
      <c r="M515" t="s">
        <v>38</v>
      </c>
      <c r="N515">
        <v>1</v>
      </c>
      <c r="X515">
        <v>8</v>
      </c>
      <c r="AB515" t="str">
        <f t="shared" ref="AB515:AB578" si="8">TEXT(G515,"mmm")</f>
        <v>Aug</v>
      </c>
    </row>
    <row r="516" spans="1:28" x14ac:dyDescent="0.35">
      <c r="A516" t="s">
        <v>564</v>
      </c>
      <c r="B516">
        <v>70</v>
      </c>
      <c r="C516" t="s">
        <v>15</v>
      </c>
      <c r="D516" t="s">
        <v>25</v>
      </c>
      <c r="E516" t="s">
        <v>40</v>
      </c>
      <c r="F516" t="s">
        <v>27</v>
      </c>
      <c r="G516" s="1">
        <v>45550</v>
      </c>
      <c r="H516" s="1">
        <v>45568</v>
      </c>
      <c r="I516" s="4">
        <v>153832</v>
      </c>
      <c r="J516" t="s">
        <v>19</v>
      </c>
      <c r="K516" t="s">
        <v>42</v>
      </c>
      <c r="L516" t="s">
        <v>46</v>
      </c>
      <c r="M516" t="s">
        <v>38</v>
      </c>
      <c r="N516">
        <v>3</v>
      </c>
      <c r="X516">
        <v>9</v>
      </c>
      <c r="AB516" t="str">
        <f t="shared" si="8"/>
        <v>Sep</v>
      </c>
    </row>
    <row r="517" spans="1:28" x14ac:dyDescent="0.35">
      <c r="A517" t="s">
        <v>565</v>
      </c>
      <c r="B517">
        <v>69</v>
      </c>
      <c r="C517" t="s">
        <v>15</v>
      </c>
      <c r="D517" t="s">
        <v>25</v>
      </c>
      <c r="E517" t="s">
        <v>17</v>
      </c>
      <c r="F517" t="s">
        <v>56</v>
      </c>
      <c r="G517" s="1">
        <v>45849</v>
      </c>
      <c r="H517" s="1">
        <v>45864</v>
      </c>
      <c r="I517" s="4">
        <v>78588</v>
      </c>
      <c r="J517" t="s">
        <v>19</v>
      </c>
      <c r="K517" t="s">
        <v>29</v>
      </c>
      <c r="L517" t="s">
        <v>46</v>
      </c>
      <c r="M517" t="s">
        <v>38</v>
      </c>
      <c r="N517">
        <v>4</v>
      </c>
      <c r="X517">
        <v>7</v>
      </c>
      <c r="AB517" t="str">
        <f t="shared" si="8"/>
        <v>Jul</v>
      </c>
    </row>
    <row r="518" spans="1:28" x14ac:dyDescent="0.35">
      <c r="A518" t="s">
        <v>566</v>
      </c>
      <c r="B518">
        <v>31</v>
      </c>
      <c r="C518" t="s">
        <v>15</v>
      </c>
      <c r="D518" t="s">
        <v>31</v>
      </c>
      <c r="E518" t="s">
        <v>40</v>
      </c>
      <c r="F518" t="s">
        <v>36</v>
      </c>
      <c r="G518" s="1">
        <v>45575</v>
      </c>
      <c r="H518" s="1">
        <v>45584</v>
      </c>
      <c r="I518" s="4">
        <v>52925</v>
      </c>
      <c r="J518" t="s">
        <v>61</v>
      </c>
      <c r="K518" t="s">
        <v>63</v>
      </c>
      <c r="L518" t="s">
        <v>46</v>
      </c>
      <c r="M518" t="s">
        <v>38</v>
      </c>
      <c r="N518">
        <v>5</v>
      </c>
      <c r="X518">
        <v>10</v>
      </c>
      <c r="AB518" t="str">
        <f t="shared" si="8"/>
        <v>Oct</v>
      </c>
    </row>
    <row r="519" spans="1:28" x14ac:dyDescent="0.35">
      <c r="A519" t="s">
        <v>567</v>
      </c>
      <c r="B519">
        <v>35</v>
      </c>
      <c r="C519" t="s">
        <v>15</v>
      </c>
      <c r="D519" t="s">
        <v>53</v>
      </c>
      <c r="E519" t="s">
        <v>32</v>
      </c>
      <c r="F519" t="s">
        <v>18</v>
      </c>
      <c r="G519" s="1">
        <v>45392</v>
      </c>
      <c r="H519" s="1">
        <v>45399</v>
      </c>
      <c r="I519" s="4">
        <v>174402</v>
      </c>
      <c r="J519" t="s">
        <v>37</v>
      </c>
      <c r="K519" t="s">
        <v>20</v>
      </c>
      <c r="L519" t="s">
        <v>33</v>
      </c>
      <c r="M519" t="s">
        <v>38</v>
      </c>
      <c r="N519">
        <v>5</v>
      </c>
      <c r="X519">
        <v>4</v>
      </c>
      <c r="AB519" t="str">
        <f t="shared" si="8"/>
        <v>Apr</v>
      </c>
    </row>
    <row r="520" spans="1:28" x14ac:dyDescent="0.35">
      <c r="A520" t="s">
        <v>568</v>
      </c>
      <c r="B520">
        <v>49</v>
      </c>
      <c r="C520" t="s">
        <v>15</v>
      </c>
      <c r="D520" t="s">
        <v>50</v>
      </c>
      <c r="E520" t="s">
        <v>40</v>
      </c>
      <c r="F520" t="s">
        <v>36</v>
      </c>
      <c r="G520" s="1">
        <v>45768</v>
      </c>
      <c r="H520" s="1">
        <v>45780</v>
      </c>
      <c r="I520" s="4">
        <v>8741</v>
      </c>
      <c r="J520" t="s">
        <v>28</v>
      </c>
      <c r="K520" t="s">
        <v>29</v>
      </c>
      <c r="L520" t="s">
        <v>33</v>
      </c>
      <c r="M520" t="s">
        <v>38</v>
      </c>
      <c r="N520">
        <v>1</v>
      </c>
      <c r="X520">
        <v>4</v>
      </c>
      <c r="AB520" t="str">
        <f t="shared" si="8"/>
        <v>Apr</v>
      </c>
    </row>
    <row r="521" spans="1:28" x14ac:dyDescent="0.35">
      <c r="A521" t="s">
        <v>569</v>
      </c>
      <c r="B521">
        <v>73</v>
      </c>
      <c r="C521" t="s">
        <v>24</v>
      </c>
      <c r="D521" t="s">
        <v>50</v>
      </c>
      <c r="E521" t="s">
        <v>40</v>
      </c>
      <c r="F521" t="s">
        <v>36</v>
      </c>
      <c r="G521" s="1">
        <v>45598</v>
      </c>
      <c r="H521" s="1">
        <v>45610</v>
      </c>
      <c r="I521" s="4">
        <v>134538</v>
      </c>
      <c r="J521" t="s">
        <v>28</v>
      </c>
      <c r="K521" t="s">
        <v>63</v>
      </c>
      <c r="L521" t="s">
        <v>43</v>
      </c>
      <c r="M521" t="s">
        <v>64</v>
      </c>
      <c r="N521">
        <v>4</v>
      </c>
      <c r="X521">
        <v>11</v>
      </c>
      <c r="AB521" t="str">
        <f t="shared" si="8"/>
        <v>Nov</v>
      </c>
    </row>
    <row r="522" spans="1:28" x14ac:dyDescent="0.35">
      <c r="A522" t="s">
        <v>570</v>
      </c>
      <c r="B522">
        <v>66</v>
      </c>
      <c r="C522" t="s">
        <v>15</v>
      </c>
      <c r="D522" t="s">
        <v>31</v>
      </c>
      <c r="E522" t="s">
        <v>35</v>
      </c>
      <c r="F522" t="s">
        <v>56</v>
      </c>
      <c r="G522" s="1">
        <v>45937</v>
      </c>
      <c r="H522" s="1">
        <v>45942</v>
      </c>
      <c r="I522" s="4">
        <v>33960</v>
      </c>
      <c r="J522" t="s">
        <v>61</v>
      </c>
      <c r="K522" t="s">
        <v>29</v>
      </c>
      <c r="L522" t="s">
        <v>33</v>
      </c>
      <c r="M522" t="s">
        <v>38</v>
      </c>
      <c r="N522">
        <v>1</v>
      </c>
      <c r="X522">
        <v>10</v>
      </c>
      <c r="AB522" t="str">
        <f t="shared" si="8"/>
        <v>Oct</v>
      </c>
    </row>
    <row r="523" spans="1:28" x14ac:dyDescent="0.35">
      <c r="A523" t="s">
        <v>571</v>
      </c>
      <c r="B523">
        <v>68</v>
      </c>
      <c r="C523" t="s">
        <v>24</v>
      </c>
      <c r="D523" t="s">
        <v>31</v>
      </c>
      <c r="E523" t="s">
        <v>51</v>
      </c>
      <c r="F523" t="s">
        <v>41</v>
      </c>
      <c r="G523" s="1">
        <v>45830</v>
      </c>
      <c r="H523" s="1">
        <v>45845</v>
      </c>
      <c r="I523" s="4">
        <v>110980</v>
      </c>
      <c r="J523" t="s">
        <v>19</v>
      </c>
      <c r="K523" t="s">
        <v>63</v>
      </c>
      <c r="L523" t="s">
        <v>46</v>
      </c>
      <c r="M523" t="s">
        <v>22</v>
      </c>
      <c r="N523">
        <v>4</v>
      </c>
      <c r="X523">
        <v>6</v>
      </c>
      <c r="AB523" t="str">
        <f t="shared" si="8"/>
        <v>Jun</v>
      </c>
    </row>
    <row r="524" spans="1:28" x14ac:dyDescent="0.35">
      <c r="A524" t="s">
        <v>572</v>
      </c>
      <c r="B524">
        <v>33</v>
      </c>
      <c r="C524" t="s">
        <v>24</v>
      </c>
      <c r="D524" t="s">
        <v>31</v>
      </c>
      <c r="E524" t="s">
        <v>51</v>
      </c>
      <c r="F524" t="s">
        <v>36</v>
      </c>
      <c r="G524" s="1">
        <v>45881</v>
      </c>
      <c r="H524" s="1">
        <v>45891</v>
      </c>
      <c r="I524" s="4">
        <v>223496</v>
      </c>
      <c r="J524" t="s">
        <v>61</v>
      </c>
      <c r="K524" t="s">
        <v>20</v>
      </c>
      <c r="L524" t="s">
        <v>43</v>
      </c>
      <c r="M524" t="s">
        <v>38</v>
      </c>
      <c r="N524">
        <v>5</v>
      </c>
      <c r="X524">
        <v>8</v>
      </c>
      <c r="AB524" t="str">
        <f t="shared" si="8"/>
        <v>Aug</v>
      </c>
    </row>
    <row r="525" spans="1:28" x14ac:dyDescent="0.35">
      <c r="A525" t="s">
        <v>573</v>
      </c>
      <c r="B525">
        <v>31</v>
      </c>
      <c r="C525" t="s">
        <v>24</v>
      </c>
      <c r="D525" t="s">
        <v>58</v>
      </c>
      <c r="E525" t="s">
        <v>40</v>
      </c>
      <c r="F525" t="s">
        <v>27</v>
      </c>
      <c r="G525" s="1">
        <v>45657</v>
      </c>
      <c r="H525" s="1">
        <v>45665</v>
      </c>
      <c r="I525" s="4">
        <v>227828</v>
      </c>
      <c r="J525" t="s">
        <v>19</v>
      </c>
      <c r="K525" t="s">
        <v>29</v>
      </c>
      <c r="L525" t="s">
        <v>46</v>
      </c>
      <c r="M525" t="s">
        <v>38</v>
      </c>
      <c r="N525">
        <v>2</v>
      </c>
      <c r="X525">
        <v>12</v>
      </c>
      <c r="AB525" t="str">
        <f t="shared" si="8"/>
        <v>Dec</v>
      </c>
    </row>
    <row r="526" spans="1:28" x14ac:dyDescent="0.35">
      <c r="A526" t="s">
        <v>574</v>
      </c>
      <c r="B526">
        <v>56</v>
      </c>
      <c r="C526" t="s">
        <v>15</v>
      </c>
      <c r="D526" t="s">
        <v>53</v>
      </c>
      <c r="E526" t="s">
        <v>26</v>
      </c>
      <c r="F526" t="s">
        <v>41</v>
      </c>
      <c r="G526" s="1">
        <v>45540</v>
      </c>
      <c r="H526" s="1">
        <v>45541</v>
      </c>
      <c r="I526" s="4">
        <v>30917</v>
      </c>
      <c r="J526" t="s">
        <v>61</v>
      </c>
      <c r="K526" t="s">
        <v>42</v>
      </c>
      <c r="L526" t="s">
        <v>48</v>
      </c>
      <c r="M526" t="s">
        <v>64</v>
      </c>
      <c r="N526">
        <v>5</v>
      </c>
      <c r="X526">
        <v>9</v>
      </c>
      <c r="AB526" t="str">
        <f t="shared" si="8"/>
        <v>Sep</v>
      </c>
    </row>
    <row r="527" spans="1:28" x14ac:dyDescent="0.35">
      <c r="A527" t="s">
        <v>575</v>
      </c>
      <c r="B527">
        <v>47</v>
      </c>
      <c r="C527" t="s">
        <v>15</v>
      </c>
      <c r="D527" t="s">
        <v>45</v>
      </c>
      <c r="E527" t="s">
        <v>51</v>
      </c>
      <c r="F527" t="s">
        <v>41</v>
      </c>
      <c r="G527" s="1">
        <v>45348</v>
      </c>
      <c r="H527" s="1">
        <v>45356</v>
      </c>
      <c r="I527" s="4">
        <v>209069</v>
      </c>
      <c r="J527" t="s">
        <v>28</v>
      </c>
      <c r="K527" t="s">
        <v>29</v>
      </c>
      <c r="L527" t="s">
        <v>43</v>
      </c>
      <c r="M527" t="s">
        <v>38</v>
      </c>
      <c r="N527">
        <v>5</v>
      </c>
      <c r="X527">
        <v>2</v>
      </c>
      <c r="AB527" t="str">
        <f t="shared" si="8"/>
        <v>Feb</v>
      </c>
    </row>
    <row r="528" spans="1:28" x14ac:dyDescent="0.35">
      <c r="A528" t="s">
        <v>576</v>
      </c>
      <c r="B528">
        <v>29</v>
      </c>
      <c r="C528" t="s">
        <v>15</v>
      </c>
      <c r="D528" t="s">
        <v>58</v>
      </c>
      <c r="E528" t="s">
        <v>32</v>
      </c>
      <c r="F528" t="s">
        <v>27</v>
      </c>
      <c r="G528" s="1">
        <v>45909</v>
      </c>
      <c r="H528" s="1">
        <v>45923</v>
      </c>
      <c r="I528" s="4">
        <v>133823</v>
      </c>
      <c r="J528" t="s">
        <v>37</v>
      </c>
      <c r="K528" t="s">
        <v>20</v>
      </c>
      <c r="L528" t="s">
        <v>43</v>
      </c>
      <c r="M528" t="s">
        <v>38</v>
      </c>
      <c r="N528">
        <v>5</v>
      </c>
      <c r="X528">
        <v>9</v>
      </c>
      <c r="AB528" t="str">
        <f t="shared" si="8"/>
        <v>Sep</v>
      </c>
    </row>
    <row r="529" spans="1:28" x14ac:dyDescent="0.35">
      <c r="A529" t="s">
        <v>577</v>
      </c>
      <c r="B529">
        <v>71</v>
      </c>
      <c r="C529" t="s">
        <v>24</v>
      </c>
      <c r="D529" t="s">
        <v>53</v>
      </c>
      <c r="E529" t="s">
        <v>17</v>
      </c>
      <c r="F529" t="s">
        <v>56</v>
      </c>
      <c r="G529" s="1">
        <v>45746</v>
      </c>
      <c r="H529" s="1">
        <v>45758</v>
      </c>
      <c r="I529" s="4">
        <v>19662</v>
      </c>
      <c r="J529" t="s">
        <v>19</v>
      </c>
      <c r="K529" t="s">
        <v>63</v>
      </c>
      <c r="L529" t="s">
        <v>46</v>
      </c>
      <c r="M529" t="s">
        <v>38</v>
      </c>
      <c r="N529">
        <v>3</v>
      </c>
      <c r="X529">
        <v>3</v>
      </c>
      <c r="AB529" t="str">
        <f t="shared" si="8"/>
        <v>Mar</v>
      </c>
    </row>
    <row r="530" spans="1:28" x14ac:dyDescent="0.35">
      <c r="A530" t="s">
        <v>578</v>
      </c>
      <c r="B530">
        <v>21</v>
      </c>
      <c r="C530" t="s">
        <v>15</v>
      </c>
      <c r="D530" t="s">
        <v>25</v>
      </c>
      <c r="E530" t="s">
        <v>40</v>
      </c>
      <c r="F530" t="s">
        <v>56</v>
      </c>
      <c r="G530" s="1">
        <v>45602</v>
      </c>
      <c r="H530" s="1">
        <v>45621</v>
      </c>
      <c r="I530" s="4">
        <v>11071</v>
      </c>
      <c r="J530" t="s">
        <v>37</v>
      </c>
      <c r="K530" t="s">
        <v>29</v>
      </c>
      <c r="L530" t="s">
        <v>33</v>
      </c>
      <c r="M530" t="s">
        <v>38</v>
      </c>
      <c r="N530">
        <v>3</v>
      </c>
      <c r="X530">
        <v>11</v>
      </c>
      <c r="AB530" t="str">
        <f t="shared" si="8"/>
        <v>Nov</v>
      </c>
    </row>
    <row r="531" spans="1:28" x14ac:dyDescent="0.35">
      <c r="A531" t="s">
        <v>579</v>
      </c>
      <c r="B531">
        <v>83</v>
      </c>
      <c r="C531" t="s">
        <v>24</v>
      </c>
      <c r="D531" t="s">
        <v>31</v>
      </c>
      <c r="E531" t="s">
        <v>17</v>
      </c>
      <c r="F531" t="s">
        <v>36</v>
      </c>
      <c r="G531" s="1">
        <v>45800</v>
      </c>
      <c r="H531" s="1">
        <v>45816</v>
      </c>
      <c r="I531" s="4">
        <v>142722</v>
      </c>
      <c r="J531" t="s">
        <v>37</v>
      </c>
      <c r="K531" t="s">
        <v>63</v>
      </c>
      <c r="L531" t="s">
        <v>43</v>
      </c>
      <c r="M531" t="s">
        <v>38</v>
      </c>
      <c r="N531">
        <v>1</v>
      </c>
      <c r="X531">
        <v>5</v>
      </c>
      <c r="AB531" t="str">
        <f t="shared" si="8"/>
        <v>May</v>
      </c>
    </row>
    <row r="532" spans="1:28" x14ac:dyDescent="0.35">
      <c r="A532" t="s">
        <v>580</v>
      </c>
      <c r="B532">
        <v>35</v>
      </c>
      <c r="C532" t="s">
        <v>24</v>
      </c>
      <c r="D532" t="s">
        <v>45</v>
      </c>
      <c r="E532" t="s">
        <v>51</v>
      </c>
      <c r="F532" t="s">
        <v>41</v>
      </c>
      <c r="G532" s="1">
        <v>45935</v>
      </c>
      <c r="H532" s="1">
        <v>45950</v>
      </c>
      <c r="I532" s="4">
        <v>92162</v>
      </c>
      <c r="J532" t="s">
        <v>28</v>
      </c>
      <c r="K532" t="s">
        <v>29</v>
      </c>
      <c r="L532" t="s">
        <v>21</v>
      </c>
      <c r="M532" t="s">
        <v>38</v>
      </c>
      <c r="N532">
        <v>2</v>
      </c>
      <c r="X532">
        <v>10</v>
      </c>
      <c r="AB532" t="str">
        <f t="shared" si="8"/>
        <v>Oct</v>
      </c>
    </row>
    <row r="533" spans="1:28" x14ac:dyDescent="0.35">
      <c r="A533" t="s">
        <v>581</v>
      </c>
      <c r="B533">
        <v>41</v>
      </c>
      <c r="C533" t="s">
        <v>24</v>
      </c>
      <c r="D533" t="s">
        <v>16</v>
      </c>
      <c r="E533" t="s">
        <v>40</v>
      </c>
      <c r="F533" t="s">
        <v>41</v>
      </c>
      <c r="G533" s="1">
        <v>45464</v>
      </c>
      <c r="H533" s="1">
        <v>45465</v>
      </c>
      <c r="I533" s="4">
        <v>76849</v>
      </c>
      <c r="J533" t="s">
        <v>61</v>
      </c>
      <c r="K533" t="s">
        <v>29</v>
      </c>
      <c r="L533" t="s">
        <v>43</v>
      </c>
      <c r="M533" t="s">
        <v>38</v>
      </c>
      <c r="N533">
        <v>3</v>
      </c>
      <c r="X533">
        <v>6</v>
      </c>
      <c r="AB533" t="str">
        <f t="shared" si="8"/>
        <v>Jun</v>
      </c>
    </row>
    <row r="534" spans="1:28" x14ac:dyDescent="0.35">
      <c r="A534" t="s">
        <v>582</v>
      </c>
      <c r="B534">
        <v>25</v>
      </c>
      <c r="C534" t="s">
        <v>15</v>
      </c>
      <c r="D534" t="s">
        <v>16</v>
      </c>
      <c r="E534" t="s">
        <v>35</v>
      </c>
      <c r="F534" t="s">
        <v>18</v>
      </c>
      <c r="G534" s="1">
        <v>45378</v>
      </c>
      <c r="H534" s="1">
        <v>45391</v>
      </c>
      <c r="I534" s="4">
        <v>154171</v>
      </c>
      <c r="J534" t="s">
        <v>28</v>
      </c>
      <c r="K534" t="s">
        <v>29</v>
      </c>
      <c r="L534" t="s">
        <v>21</v>
      </c>
      <c r="M534" t="s">
        <v>64</v>
      </c>
      <c r="N534">
        <v>1</v>
      </c>
      <c r="X534">
        <v>3</v>
      </c>
      <c r="AB534" t="str">
        <f t="shared" si="8"/>
        <v>Mar</v>
      </c>
    </row>
    <row r="535" spans="1:28" x14ac:dyDescent="0.35">
      <c r="A535" t="s">
        <v>583</v>
      </c>
      <c r="B535">
        <v>49</v>
      </c>
      <c r="C535" t="s">
        <v>24</v>
      </c>
      <c r="D535" t="s">
        <v>31</v>
      </c>
      <c r="E535" t="s">
        <v>26</v>
      </c>
      <c r="F535" t="s">
        <v>56</v>
      </c>
      <c r="G535" s="1">
        <v>45875</v>
      </c>
      <c r="H535" s="1">
        <v>45889</v>
      </c>
      <c r="I535" s="4">
        <v>216025</v>
      </c>
      <c r="J535" t="s">
        <v>19</v>
      </c>
      <c r="K535" t="s">
        <v>63</v>
      </c>
      <c r="L535" t="s">
        <v>33</v>
      </c>
      <c r="M535" t="s">
        <v>38</v>
      </c>
      <c r="N535">
        <v>1</v>
      </c>
      <c r="X535">
        <v>8</v>
      </c>
      <c r="AB535" t="str">
        <f t="shared" si="8"/>
        <v>Aug</v>
      </c>
    </row>
    <row r="536" spans="1:28" x14ac:dyDescent="0.35">
      <c r="A536" t="s">
        <v>584</v>
      </c>
      <c r="B536">
        <v>61</v>
      </c>
      <c r="C536" t="s">
        <v>15</v>
      </c>
      <c r="D536" t="s">
        <v>25</v>
      </c>
      <c r="E536" t="s">
        <v>35</v>
      </c>
      <c r="F536" t="s">
        <v>27</v>
      </c>
      <c r="G536" s="1">
        <v>46010</v>
      </c>
      <c r="H536" s="1">
        <v>46029</v>
      </c>
      <c r="I536" s="4">
        <v>73647</v>
      </c>
      <c r="J536" t="s">
        <v>19</v>
      </c>
      <c r="K536" t="s">
        <v>42</v>
      </c>
      <c r="L536" t="s">
        <v>21</v>
      </c>
      <c r="M536" t="s">
        <v>64</v>
      </c>
      <c r="N536">
        <v>3</v>
      </c>
      <c r="X536">
        <v>12</v>
      </c>
      <c r="AB536" t="str">
        <f t="shared" si="8"/>
        <v>Dec</v>
      </c>
    </row>
    <row r="537" spans="1:28" x14ac:dyDescent="0.35">
      <c r="A537" t="s">
        <v>585</v>
      </c>
      <c r="B537">
        <v>32</v>
      </c>
      <c r="C537" t="s">
        <v>24</v>
      </c>
      <c r="D537" t="s">
        <v>25</v>
      </c>
      <c r="E537" t="s">
        <v>40</v>
      </c>
      <c r="F537" t="s">
        <v>41</v>
      </c>
      <c r="G537" s="1">
        <v>45946</v>
      </c>
      <c r="H537" s="1">
        <v>45951</v>
      </c>
      <c r="I537" s="4">
        <v>42984</v>
      </c>
      <c r="J537" t="s">
        <v>28</v>
      </c>
      <c r="K537" t="s">
        <v>29</v>
      </c>
      <c r="L537" t="s">
        <v>43</v>
      </c>
      <c r="M537" t="s">
        <v>64</v>
      </c>
      <c r="N537">
        <v>1</v>
      </c>
      <c r="X537">
        <v>10</v>
      </c>
      <c r="AB537" t="str">
        <f t="shared" si="8"/>
        <v>Oct</v>
      </c>
    </row>
    <row r="538" spans="1:28" x14ac:dyDescent="0.35">
      <c r="A538" t="s">
        <v>586</v>
      </c>
      <c r="B538">
        <v>28</v>
      </c>
      <c r="C538" t="s">
        <v>24</v>
      </c>
      <c r="D538" t="s">
        <v>50</v>
      </c>
      <c r="E538" t="s">
        <v>17</v>
      </c>
      <c r="F538" t="s">
        <v>41</v>
      </c>
      <c r="G538" s="1">
        <v>45936</v>
      </c>
      <c r="H538" s="1">
        <v>45956</v>
      </c>
      <c r="I538" s="4">
        <v>186918</v>
      </c>
      <c r="J538" t="s">
        <v>61</v>
      </c>
      <c r="K538" t="s">
        <v>63</v>
      </c>
      <c r="L538" t="s">
        <v>21</v>
      </c>
      <c r="M538" t="s">
        <v>22</v>
      </c>
      <c r="N538">
        <v>5</v>
      </c>
      <c r="X538">
        <v>10</v>
      </c>
      <c r="AB538" t="str">
        <f t="shared" si="8"/>
        <v>Oct</v>
      </c>
    </row>
    <row r="539" spans="1:28" x14ac:dyDescent="0.35">
      <c r="A539" t="s">
        <v>587</v>
      </c>
      <c r="B539">
        <v>28</v>
      </c>
      <c r="C539" t="s">
        <v>15</v>
      </c>
      <c r="D539" t="s">
        <v>16</v>
      </c>
      <c r="E539" t="s">
        <v>40</v>
      </c>
      <c r="F539" t="s">
        <v>18</v>
      </c>
      <c r="G539" s="1">
        <v>45662</v>
      </c>
      <c r="H539" s="1">
        <v>45669</v>
      </c>
      <c r="I539" s="4">
        <v>7317</v>
      </c>
      <c r="J539" t="s">
        <v>28</v>
      </c>
      <c r="K539" t="s">
        <v>42</v>
      </c>
      <c r="L539" t="s">
        <v>46</v>
      </c>
      <c r="M539" t="s">
        <v>64</v>
      </c>
      <c r="N539">
        <v>5</v>
      </c>
      <c r="X539">
        <v>1</v>
      </c>
      <c r="AB539" t="str">
        <f t="shared" si="8"/>
        <v>Jan</v>
      </c>
    </row>
    <row r="540" spans="1:28" x14ac:dyDescent="0.35">
      <c r="A540" t="s">
        <v>588</v>
      </c>
      <c r="B540">
        <v>77</v>
      </c>
      <c r="C540" t="s">
        <v>15</v>
      </c>
      <c r="D540" t="s">
        <v>25</v>
      </c>
      <c r="E540" t="s">
        <v>26</v>
      </c>
      <c r="F540" t="s">
        <v>56</v>
      </c>
      <c r="G540" s="1">
        <v>45663</v>
      </c>
      <c r="H540" s="1">
        <v>45678</v>
      </c>
      <c r="I540" s="4">
        <v>64134</v>
      </c>
      <c r="J540" t="s">
        <v>19</v>
      </c>
      <c r="K540" t="s">
        <v>63</v>
      </c>
      <c r="L540" t="s">
        <v>33</v>
      </c>
      <c r="M540" t="s">
        <v>38</v>
      </c>
      <c r="N540">
        <v>2</v>
      </c>
      <c r="X540">
        <v>1</v>
      </c>
      <c r="AB540" t="str">
        <f t="shared" si="8"/>
        <v>Jan</v>
      </c>
    </row>
    <row r="541" spans="1:28" x14ac:dyDescent="0.35">
      <c r="A541" t="s">
        <v>589</v>
      </c>
      <c r="B541">
        <v>57</v>
      </c>
      <c r="C541" t="s">
        <v>15</v>
      </c>
      <c r="D541" t="s">
        <v>45</v>
      </c>
      <c r="E541" t="s">
        <v>40</v>
      </c>
      <c r="F541" t="s">
        <v>36</v>
      </c>
      <c r="G541" s="1">
        <v>45784</v>
      </c>
      <c r="H541" s="1">
        <v>45794</v>
      </c>
      <c r="I541" s="4">
        <v>11976</v>
      </c>
      <c r="J541" t="s">
        <v>19</v>
      </c>
      <c r="K541" t="s">
        <v>20</v>
      </c>
      <c r="L541" t="s">
        <v>33</v>
      </c>
      <c r="M541" t="s">
        <v>38</v>
      </c>
      <c r="N541">
        <v>4</v>
      </c>
      <c r="X541">
        <v>5</v>
      </c>
      <c r="AB541" t="str">
        <f t="shared" si="8"/>
        <v>May</v>
      </c>
    </row>
    <row r="542" spans="1:28" x14ac:dyDescent="0.35">
      <c r="A542" t="s">
        <v>590</v>
      </c>
      <c r="B542">
        <v>85</v>
      </c>
      <c r="C542" t="s">
        <v>15</v>
      </c>
      <c r="D542" t="s">
        <v>45</v>
      </c>
      <c r="E542" t="s">
        <v>35</v>
      </c>
      <c r="F542" t="s">
        <v>27</v>
      </c>
      <c r="G542" s="1">
        <v>45519</v>
      </c>
      <c r="H542" s="1">
        <v>45522</v>
      </c>
      <c r="I542" s="4">
        <v>235349</v>
      </c>
      <c r="J542" t="s">
        <v>19</v>
      </c>
      <c r="K542" t="s">
        <v>20</v>
      </c>
      <c r="L542" t="s">
        <v>43</v>
      </c>
      <c r="M542" t="s">
        <v>38</v>
      </c>
      <c r="N542">
        <v>2</v>
      </c>
      <c r="X542">
        <v>8</v>
      </c>
      <c r="AB542" t="str">
        <f t="shared" si="8"/>
        <v>Aug</v>
      </c>
    </row>
    <row r="543" spans="1:28" x14ac:dyDescent="0.35">
      <c r="A543" t="s">
        <v>591</v>
      </c>
      <c r="B543">
        <v>85</v>
      </c>
      <c r="C543" t="s">
        <v>24</v>
      </c>
      <c r="D543" t="s">
        <v>31</v>
      </c>
      <c r="E543" t="s">
        <v>26</v>
      </c>
      <c r="F543" t="s">
        <v>56</v>
      </c>
      <c r="G543" s="1">
        <v>45883</v>
      </c>
      <c r="H543" s="1">
        <v>45887</v>
      </c>
      <c r="I543" s="4">
        <v>87679</v>
      </c>
      <c r="J543" t="s">
        <v>28</v>
      </c>
      <c r="K543" t="s">
        <v>63</v>
      </c>
      <c r="L543" t="s">
        <v>46</v>
      </c>
      <c r="M543" t="s">
        <v>38</v>
      </c>
      <c r="N543">
        <v>1</v>
      </c>
      <c r="X543">
        <v>8</v>
      </c>
      <c r="AB543" t="str">
        <f t="shared" si="8"/>
        <v>Aug</v>
      </c>
    </row>
    <row r="544" spans="1:28" x14ac:dyDescent="0.35">
      <c r="A544" t="s">
        <v>592</v>
      </c>
      <c r="B544">
        <v>71</v>
      </c>
      <c r="C544" t="s">
        <v>15</v>
      </c>
      <c r="D544" t="s">
        <v>58</v>
      </c>
      <c r="E544" t="s">
        <v>51</v>
      </c>
      <c r="F544" t="s">
        <v>36</v>
      </c>
      <c r="G544" s="1">
        <v>45753</v>
      </c>
      <c r="H544" s="1">
        <v>45755</v>
      </c>
      <c r="I544" s="4">
        <v>14796</v>
      </c>
      <c r="J544" t="s">
        <v>19</v>
      </c>
      <c r="K544" t="s">
        <v>20</v>
      </c>
      <c r="L544" t="s">
        <v>33</v>
      </c>
      <c r="M544" t="s">
        <v>22</v>
      </c>
      <c r="N544">
        <v>1</v>
      </c>
      <c r="X544">
        <v>4</v>
      </c>
      <c r="AB544" t="str">
        <f t="shared" si="8"/>
        <v>Apr</v>
      </c>
    </row>
    <row r="545" spans="1:28" x14ac:dyDescent="0.35">
      <c r="A545" t="s">
        <v>593</v>
      </c>
      <c r="B545">
        <v>42</v>
      </c>
      <c r="C545" t="s">
        <v>15</v>
      </c>
      <c r="D545" t="s">
        <v>16</v>
      </c>
      <c r="E545" t="s">
        <v>35</v>
      </c>
      <c r="F545" t="s">
        <v>27</v>
      </c>
      <c r="G545" s="1">
        <v>46019</v>
      </c>
      <c r="H545" s="1">
        <v>46023</v>
      </c>
      <c r="I545" s="4">
        <v>53709</v>
      </c>
      <c r="J545" t="s">
        <v>37</v>
      </c>
      <c r="K545" t="s">
        <v>20</v>
      </c>
      <c r="L545" t="s">
        <v>48</v>
      </c>
      <c r="M545" t="s">
        <v>64</v>
      </c>
      <c r="N545">
        <v>1</v>
      </c>
      <c r="X545">
        <v>12</v>
      </c>
      <c r="AB545" t="str">
        <f t="shared" si="8"/>
        <v>Dec</v>
      </c>
    </row>
    <row r="546" spans="1:28" x14ac:dyDescent="0.35">
      <c r="A546" t="s">
        <v>594</v>
      </c>
      <c r="B546">
        <v>57</v>
      </c>
      <c r="C546" t="s">
        <v>15</v>
      </c>
      <c r="D546" t="s">
        <v>53</v>
      </c>
      <c r="E546" t="s">
        <v>40</v>
      </c>
      <c r="F546" t="s">
        <v>18</v>
      </c>
      <c r="G546" s="1">
        <v>45647</v>
      </c>
      <c r="H546" s="1">
        <v>45664</v>
      </c>
      <c r="I546" s="4">
        <v>201097</v>
      </c>
      <c r="J546" t="s">
        <v>28</v>
      </c>
      <c r="K546" t="s">
        <v>29</v>
      </c>
      <c r="L546" t="s">
        <v>21</v>
      </c>
      <c r="M546" t="s">
        <v>38</v>
      </c>
      <c r="N546">
        <v>3</v>
      </c>
      <c r="X546">
        <v>12</v>
      </c>
      <c r="AB546" t="str">
        <f t="shared" si="8"/>
        <v>Dec</v>
      </c>
    </row>
    <row r="547" spans="1:28" x14ac:dyDescent="0.35">
      <c r="A547" t="s">
        <v>595</v>
      </c>
      <c r="B547">
        <v>43</v>
      </c>
      <c r="C547" t="s">
        <v>24</v>
      </c>
      <c r="D547" t="s">
        <v>58</v>
      </c>
      <c r="E547" t="s">
        <v>40</v>
      </c>
      <c r="F547" t="s">
        <v>56</v>
      </c>
      <c r="G547" s="1">
        <v>45440</v>
      </c>
      <c r="H547" s="1">
        <v>45460</v>
      </c>
      <c r="I547" s="4">
        <v>232217</v>
      </c>
      <c r="J547" t="s">
        <v>37</v>
      </c>
      <c r="K547" t="s">
        <v>29</v>
      </c>
      <c r="L547" t="s">
        <v>21</v>
      </c>
      <c r="M547" t="s">
        <v>64</v>
      </c>
      <c r="N547">
        <v>4</v>
      </c>
      <c r="X547">
        <v>5</v>
      </c>
      <c r="AB547" t="str">
        <f t="shared" si="8"/>
        <v>May</v>
      </c>
    </row>
    <row r="548" spans="1:28" x14ac:dyDescent="0.35">
      <c r="A548" t="s">
        <v>596</v>
      </c>
      <c r="B548">
        <v>30</v>
      </c>
      <c r="C548" t="s">
        <v>24</v>
      </c>
      <c r="D548" t="s">
        <v>16</v>
      </c>
      <c r="E548" t="s">
        <v>17</v>
      </c>
      <c r="F548" t="s">
        <v>41</v>
      </c>
      <c r="G548" s="1">
        <v>45693</v>
      </c>
      <c r="H548" s="1">
        <v>45697</v>
      </c>
      <c r="I548" s="4">
        <v>197781</v>
      </c>
      <c r="J548" t="s">
        <v>28</v>
      </c>
      <c r="K548" t="s">
        <v>63</v>
      </c>
      <c r="L548" t="s">
        <v>46</v>
      </c>
      <c r="M548" t="s">
        <v>64</v>
      </c>
      <c r="N548">
        <v>5</v>
      </c>
      <c r="X548">
        <v>2</v>
      </c>
      <c r="AB548" t="str">
        <f t="shared" si="8"/>
        <v>Feb</v>
      </c>
    </row>
    <row r="549" spans="1:28" x14ac:dyDescent="0.35">
      <c r="A549" t="s">
        <v>597</v>
      </c>
      <c r="B549">
        <v>31</v>
      </c>
      <c r="C549" t="s">
        <v>24</v>
      </c>
      <c r="D549" t="s">
        <v>50</v>
      </c>
      <c r="E549" t="s">
        <v>51</v>
      </c>
      <c r="F549" t="s">
        <v>41</v>
      </c>
      <c r="G549" s="1">
        <v>45642</v>
      </c>
      <c r="H549" s="1">
        <v>45662</v>
      </c>
      <c r="I549" s="4">
        <v>60583</v>
      </c>
      <c r="J549" t="s">
        <v>28</v>
      </c>
      <c r="K549" t="s">
        <v>42</v>
      </c>
      <c r="L549" t="s">
        <v>43</v>
      </c>
      <c r="M549" t="s">
        <v>22</v>
      </c>
      <c r="N549">
        <v>2</v>
      </c>
      <c r="X549">
        <v>12</v>
      </c>
      <c r="AB549" t="str">
        <f t="shared" si="8"/>
        <v>Dec</v>
      </c>
    </row>
    <row r="550" spans="1:28" x14ac:dyDescent="0.35">
      <c r="A550" t="s">
        <v>598</v>
      </c>
      <c r="B550">
        <v>79</v>
      </c>
      <c r="C550" t="s">
        <v>15</v>
      </c>
      <c r="D550" t="s">
        <v>53</v>
      </c>
      <c r="E550" t="s">
        <v>26</v>
      </c>
      <c r="F550" t="s">
        <v>18</v>
      </c>
      <c r="G550" s="1">
        <v>45898</v>
      </c>
      <c r="H550" s="1">
        <v>45906</v>
      </c>
      <c r="I550" s="4">
        <v>173068</v>
      </c>
      <c r="J550" t="s">
        <v>37</v>
      </c>
      <c r="K550" t="s">
        <v>29</v>
      </c>
      <c r="L550" t="s">
        <v>33</v>
      </c>
      <c r="M550" t="s">
        <v>22</v>
      </c>
      <c r="N550">
        <v>5</v>
      </c>
      <c r="X550">
        <v>8</v>
      </c>
      <c r="AB550" t="str">
        <f t="shared" si="8"/>
        <v>Aug</v>
      </c>
    </row>
    <row r="551" spans="1:28" x14ac:dyDescent="0.35">
      <c r="A551" t="s">
        <v>599</v>
      </c>
      <c r="B551">
        <v>27</v>
      </c>
      <c r="C551" t="s">
        <v>24</v>
      </c>
      <c r="D551" t="s">
        <v>45</v>
      </c>
      <c r="E551" t="s">
        <v>17</v>
      </c>
      <c r="F551" t="s">
        <v>27</v>
      </c>
      <c r="G551" s="1">
        <v>45933</v>
      </c>
      <c r="H551" s="1">
        <v>45939</v>
      </c>
      <c r="I551" s="4">
        <v>150411</v>
      </c>
      <c r="J551" t="s">
        <v>61</v>
      </c>
      <c r="K551" t="s">
        <v>20</v>
      </c>
      <c r="L551" t="s">
        <v>46</v>
      </c>
      <c r="M551" t="s">
        <v>22</v>
      </c>
      <c r="N551">
        <v>1</v>
      </c>
      <c r="X551">
        <v>10</v>
      </c>
      <c r="AB551" t="str">
        <f t="shared" si="8"/>
        <v>Oct</v>
      </c>
    </row>
    <row r="552" spans="1:28" x14ac:dyDescent="0.35">
      <c r="A552" t="s">
        <v>600</v>
      </c>
      <c r="B552">
        <v>71</v>
      </c>
      <c r="C552" t="s">
        <v>24</v>
      </c>
      <c r="D552" t="s">
        <v>53</v>
      </c>
      <c r="E552" t="s">
        <v>40</v>
      </c>
      <c r="F552" t="s">
        <v>18</v>
      </c>
      <c r="G552" s="1">
        <v>45787</v>
      </c>
      <c r="H552" s="1">
        <v>45798</v>
      </c>
      <c r="I552" s="4">
        <v>217234</v>
      </c>
      <c r="J552" t="s">
        <v>61</v>
      </c>
      <c r="K552" t="s">
        <v>20</v>
      </c>
      <c r="L552" t="s">
        <v>33</v>
      </c>
      <c r="M552" t="s">
        <v>22</v>
      </c>
      <c r="N552">
        <v>4</v>
      </c>
      <c r="X552">
        <v>5</v>
      </c>
      <c r="AB552" t="str">
        <f t="shared" si="8"/>
        <v>May</v>
      </c>
    </row>
    <row r="553" spans="1:28" x14ac:dyDescent="0.35">
      <c r="A553" t="s">
        <v>601</v>
      </c>
      <c r="B553">
        <v>63</v>
      </c>
      <c r="C553" t="s">
        <v>15</v>
      </c>
      <c r="D553" t="s">
        <v>16</v>
      </c>
      <c r="E553" t="s">
        <v>35</v>
      </c>
      <c r="F553" t="s">
        <v>41</v>
      </c>
      <c r="G553" s="1">
        <v>45302</v>
      </c>
      <c r="H553" s="1">
        <v>45320</v>
      </c>
      <c r="I553" s="4">
        <v>182430</v>
      </c>
      <c r="J553" t="s">
        <v>37</v>
      </c>
      <c r="K553" t="s">
        <v>29</v>
      </c>
      <c r="L553" t="s">
        <v>43</v>
      </c>
      <c r="M553" t="s">
        <v>38</v>
      </c>
      <c r="N553">
        <v>2</v>
      </c>
      <c r="X553">
        <v>1</v>
      </c>
      <c r="AB553" t="str">
        <f t="shared" si="8"/>
        <v>Jan</v>
      </c>
    </row>
    <row r="554" spans="1:28" x14ac:dyDescent="0.35">
      <c r="A554" t="s">
        <v>602</v>
      </c>
      <c r="B554">
        <v>51</v>
      </c>
      <c r="C554" t="s">
        <v>24</v>
      </c>
      <c r="D554" t="s">
        <v>31</v>
      </c>
      <c r="E554" t="s">
        <v>40</v>
      </c>
      <c r="F554" t="s">
        <v>18</v>
      </c>
      <c r="G554" s="1">
        <v>45494</v>
      </c>
      <c r="H554" s="1">
        <v>45509</v>
      </c>
      <c r="I554" s="4">
        <v>198388</v>
      </c>
      <c r="J554" t="s">
        <v>61</v>
      </c>
      <c r="K554" t="s">
        <v>63</v>
      </c>
      <c r="L554" t="s">
        <v>33</v>
      </c>
      <c r="M554" t="s">
        <v>22</v>
      </c>
      <c r="N554">
        <v>2</v>
      </c>
      <c r="X554">
        <v>7</v>
      </c>
      <c r="AB554" t="str">
        <f t="shared" si="8"/>
        <v>Jul</v>
      </c>
    </row>
    <row r="555" spans="1:28" x14ac:dyDescent="0.35">
      <c r="A555" t="s">
        <v>603</v>
      </c>
      <c r="B555">
        <v>73</v>
      </c>
      <c r="C555" t="s">
        <v>24</v>
      </c>
      <c r="D555" t="s">
        <v>31</v>
      </c>
      <c r="E555" t="s">
        <v>17</v>
      </c>
      <c r="F555" t="s">
        <v>41</v>
      </c>
      <c r="G555" s="1">
        <v>45367</v>
      </c>
      <c r="H555" s="1">
        <v>45383</v>
      </c>
      <c r="I555" s="4">
        <v>107390</v>
      </c>
      <c r="J555" t="s">
        <v>61</v>
      </c>
      <c r="K555" t="s">
        <v>29</v>
      </c>
      <c r="L555" t="s">
        <v>21</v>
      </c>
      <c r="M555" t="s">
        <v>38</v>
      </c>
      <c r="N555">
        <v>4</v>
      </c>
      <c r="X555">
        <v>3</v>
      </c>
      <c r="AB555" t="str">
        <f t="shared" si="8"/>
        <v>Mar</v>
      </c>
    </row>
    <row r="556" spans="1:28" x14ac:dyDescent="0.35">
      <c r="A556" t="s">
        <v>604</v>
      </c>
      <c r="B556">
        <v>45</v>
      </c>
      <c r="C556" t="s">
        <v>24</v>
      </c>
      <c r="D556" t="s">
        <v>25</v>
      </c>
      <c r="E556" t="s">
        <v>40</v>
      </c>
      <c r="F556" t="s">
        <v>36</v>
      </c>
      <c r="G556" s="1">
        <v>45793</v>
      </c>
      <c r="H556" s="1">
        <v>45810</v>
      </c>
      <c r="I556" s="4">
        <v>243333</v>
      </c>
      <c r="J556" t="s">
        <v>19</v>
      </c>
      <c r="K556" t="s">
        <v>42</v>
      </c>
      <c r="L556" t="s">
        <v>46</v>
      </c>
      <c r="M556" t="s">
        <v>38</v>
      </c>
      <c r="N556">
        <v>4</v>
      </c>
      <c r="X556">
        <v>5</v>
      </c>
      <c r="AB556" t="str">
        <f t="shared" si="8"/>
        <v>May</v>
      </c>
    </row>
    <row r="557" spans="1:28" x14ac:dyDescent="0.35">
      <c r="A557" t="s">
        <v>605</v>
      </c>
      <c r="B557">
        <v>65</v>
      </c>
      <c r="C557" t="s">
        <v>24</v>
      </c>
      <c r="D557" t="s">
        <v>31</v>
      </c>
      <c r="E557" t="s">
        <v>32</v>
      </c>
      <c r="F557" t="s">
        <v>36</v>
      </c>
      <c r="G557" s="1">
        <v>45834</v>
      </c>
      <c r="H557" s="1">
        <v>45849</v>
      </c>
      <c r="I557" s="4">
        <v>177805</v>
      </c>
      <c r="J557" t="s">
        <v>28</v>
      </c>
      <c r="K557" t="s">
        <v>29</v>
      </c>
      <c r="L557" t="s">
        <v>43</v>
      </c>
      <c r="M557" t="s">
        <v>38</v>
      </c>
      <c r="N557">
        <v>3</v>
      </c>
      <c r="X557">
        <v>6</v>
      </c>
      <c r="AB557" t="str">
        <f t="shared" si="8"/>
        <v>Jun</v>
      </c>
    </row>
    <row r="558" spans="1:28" x14ac:dyDescent="0.35">
      <c r="A558" t="s">
        <v>606</v>
      </c>
      <c r="B558">
        <v>30</v>
      </c>
      <c r="C558" t="s">
        <v>15</v>
      </c>
      <c r="D558" t="s">
        <v>45</v>
      </c>
      <c r="E558" t="s">
        <v>17</v>
      </c>
      <c r="F558" t="s">
        <v>56</v>
      </c>
      <c r="G558" s="1">
        <v>45521</v>
      </c>
      <c r="H558" s="1">
        <v>45538</v>
      </c>
      <c r="I558" s="4">
        <v>78888</v>
      </c>
      <c r="J558" t="s">
        <v>28</v>
      </c>
      <c r="K558" t="s">
        <v>20</v>
      </c>
      <c r="L558" t="s">
        <v>46</v>
      </c>
      <c r="M558" t="s">
        <v>38</v>
      </c>
      <c r="N558">
        <v>4</v>
      </c>
      <c r="X558">
        <v>8</v>
      </c>
      <c r="AB558" t="str">
        <f t="shared" si="8"/>
        <v>Aug</v>
      </c>
    </row>
    <row r="559" spans="1:28" x14ac:dyDescent="0.35">
      <c r="A559" t="s">
        <v>607</v>
      </c>
      <c r="B559">
        <v>38</v>
      </c>
      <c r="C559" t="s">
        <v>24</v>
      </c>
      <c r="D559" t="s">
        <v>25</v>
      </c>
      <c r="E559" t="s">
        <v>40</v>
      </c>
      <c r="F559" t="s">
        <v>36</v>
      </c>
      <c r="G559" s="1">
        <v>45782</v>
      </c>
      <c r="H559" s="1">
        <v>45799</v>
      </c>
      <c r="I559" s="4">
        <v>23122</v>
      </c>
      <c r="J559" t="s">
        <v>37</v>
      </c>
      <c r="K559" t="s">
        <v>42</v>
      </c>
      <c r="L559" t="s">
        <v>33</v>
      </c>
      <c r="M559" t="s">
        <v>64</v>
      </c>
      <c r="N559">
        <v>4</v>
      </c>
      <c r="X559">
        <v>5</v>
      </c>
      <c r="AB559" t="str">
        <f t="shared" si="8"/>
        <v>May</v>
      </c>
    </row>
    <row r="560" spans="1:28" x14ac:dyDescent="0.35">
      <c r="A560" t="s">
        <v>608</v>
      </c>
      <c r="B560">
        <v>71</v>
      </c>
      <c r="C560" t="s">
        <v>15</v>
      </c>
      <c r="D560" t="s">
        <v>45</v>
      </c>
      <c r="E560" t="s">
        <v>32</v>
      </c>
      <c r="F560" t="s">
        <v>56</v>
      </c>
      <c r="G560" s="1">
        <v>45727</v>
      </c>
      <c r="H560" s="1">
        <v>45745</v>
      </c>
      <c r="I560" s="4">
        <v>103836</v>
      </c>
      <c r="J560" t="s">
        <v>61</v>
      </c>
      <c r="K560" t="s">
        <v>63</v>
      </c>
      <c r="L560" t="s">
        <v>48</v>
      </c>
      <c r="M560" t="s">
        <v>22</v>
      </c>
      <c r="N560">
        <v>5</v>
      </c>
      <c r="X560">
        <v>3</v>
      </c>
      <c r="AB560" t="str">
        <f t="shared" si="8"/>
        <v>Mar</v>
      </c>
    </row>
    <row r="561" spans="1:28" x14ac:dyDescent="0.35">
      <c r="A561" t="s">
        <v>609</v>
      </c>
      <c r="B561">
        <v>67</v>
      </c>
      <c r="C561" t="s">
        <v>15</v>
      </c>
      <c r="D561" t="s">
        <v>31</v>
      </c>
      <c r="E561" t="s">
        <v>26</v>
      </c>
      <c r="F561" t="s">
        <v>56</v>
      </c>
      <c r="G561" s="1">
        <v>45539</v>
      </c>
      <c r="H561" s="1">
        <v>45545</v>
      </c>
      <c r="I561" s="4">
        <v>147116</v>
      </c>
      <c r="J561" t="s">
        <v>37</v>
      </c>
      <c r="K561" t="s">
        <v>42</v>
      </c>
      <c r="L561" t="s">
        <v>33</v>
      </c>
      <c r="M561" t="s">
        <v>22</v>
      </c>
      <c r="N561">
        <v>3</v>
      </c>
      <c r="X561">
        <v>9</v>
      </c>
      <c r="AB561" t="str">
        <f t="shared" si="8"/>
        <v>Sep</v>
      </c>
    </row>
    <row r="562" spans="1:28" x14ac:dyDescent="0.35">
      <c r="A562" t="s">
        <v>610</v>
      </c>
      <c r="B562">
        <v>18</v>
      </c>
      <c r="C562" t="s">
        <v>24</v>
      </c>
      <c r="D562" t="s">
        <v>45</v>
      </c>
      <c r="E562" t="s">
        <v>32</v>
      </c>
      <c r="F562" t="s">
        <v>41</v>
      </c>
      <c r="G562" s="1">
        <v>45971</v>
      </c>
      <c r="H562" s="1">
        <v>45980</v>
      </c>
      <c r="I562" s="4">
        <v>10422</v>
      </c>
      <c r="J562" t="s">
        <v>61</v>
      </c>
      <c r="K562" t="s">
        <v>42</v>
      </c>
      <c r="L562" t="s">
        <v>33</v>
      </c>
      <c r="M562" t="s">
        <v>38</v>
      </c>
      <c r="N562">
        <v>1</v>
      </c>
      <c r="X562">
        <v>11</v>
      </c>
      <c r="AB562" t="str">
        <f t="shared" si="8"/>
        <v>Nov</v>
      </c>
    </row>
    <row r="563" spans="1:28" x14ac:dyDescent="0.35">
      <c r="A563" t="s">
        <v>611</v>
      </c>
      <c r="B563">
        <v>45</v>
      </c>
      <c r="C563" t="s">
        <v>15</v>
      </c>
      <c r="D563" t="s">
        <v>53</v>
      </c>
      <c r="E563" t="s">
        <v>17</v>
      </c>
      <c r="F563" t="s">
        <v>56</v>
      </c>
      <c r="G563" s="1">
        <v>45494</v>
      </c>
      <c r="H563" s="1">
        <v>45514</v>
      </c>
      <c r="I563" s="4">
        <v>35518</v>
      </c>
      <c r="J563" t="s">
        <v>28</v>
      </c>
      <c r="K563" t="s">
        <v>63</v>
      </c>
      <c r="L563" t="s">
        <v>46</v>
      </c>
      <c r="M563" t="s">
        <v>22</v>
      </c>
      <c r="N563">
        <v>1</v>
      </c>
      <c r="X563">
        <v>7</v>
      </c>
      <c r="AB563" t="str">
        <f t="shared" si="8"/>
        <v>Jul</v>
      </c>
    </row>
    <row r="564" spans="1:28" x14ac:dyDescent="0.35">
      <c r="A564" t="s">
        <v>612</v>
      </c>
      <c r="B564">
        <v>35</v>
      </c>
      <c r="C564" t="s">
        <v>24</v>
      </c>
      <c r="D564" t="s">
        <v>50</v>
      </c>
      <c r="E564" t="s">
        <v>51</v>
      </c>
      <c r="F564" t="s">
        <v>56</v>
      </c>
      <c r="G564" s="1">
        <v>45479</v>
      </c>
      <c r="H564" s="1">
        <v>45491</v>
      </c>
      <c r="I564" s="4">
        <v>65370</v>
      </c>
      <c r="J564" t="s">
        <v>28</v>
      </c>
      <c r="K564" t="s">
        <v>63</v>
      </c>
      <c r="L564" t="s">
        <v>43</v>
      </c>
      <c r="M564" t="s">
        <v>64</v>
      </c>
      <c r="N564">
        <v>1</v>
      </c>
      <c r="X564">
        <v>7</v>
      </c>
      <c r="AB564" t="str">
        <f t="shared" si="8"/>
        <v>Jul</v>
      </c>
    </row>
    <row r="565" spans="1:28" x14ac:dyDescent="0.35">
      <c r="A565" t="s">
        <v>613</v>
      </c>
      <c r="B565">
        <v>36</v>
      </c>
      <c r="C565" t="s">
        <v>15</v>
      </c>
      <c r="D565" t="s">
        <v>50</v>
      </c>
      <c r="E565" t="s">
        <v>26</v>
      </c>
      <c r="F565" t="s">
        <v>36</v>
      </c>
      <c r="G565" s="1">
        <v>45440</v>
      </c>
      <c r="H565" s="1">
        <v>45458</v>
      </c>
      <c r="I565" s="4">
        <v>131115</v>
      </c>
      <c r="J565" t="s">
        <v>37</v>
      </c>
      <c r="K565" t="s">
        <v>29</v>
      </c>
      <c r="L565" t="s">
        <v>43</v>
      </c>
      <c r="M565" t="s">
        <v>22</v>
      </c>
      <c r="N565">
        <v>4</v>
      </c>
      <c r="X565">
        <v>5</v>
      </c>
      <c r="AB565" t="str">
        <f t="shared" si="8"/>
        <v>May</v>
      </c>
    </row>
    <row r="566" spans="1:28" x14ac:dyDescent="0.35">
      <c r="A566" t="s">
        <v>614</v>
      </c>
      <c r="B566">
        <v>46</v>
      </c>
      <c r="C566" t="s">
        <v>24</v>
      </c>
      <c r="D566" t="s">
        <v>25</v>
      </c>
      <c r="E566" t="s">
        <v>35</v>
      </c>
      <c r="F566" t="s">
        <v>27</v>
      </c>
      <c r="G566" s="1">
        <v>45630</v>
      </c>
      <c r="H566" s="1">
        <v>45636</v>
      </c>
      <c r="I566" s="4">
        <v>102058</v>
      </c>
      <c r="J566" t="s">
        <v>19</v>
      </c>
      <c r="K566" t="s">
        <v>20</v>
      </c>
      <c r="L566" t="s">
        <v>48</v>
      </c>
      <c r="M566" t="s">
        <v>64</v>
      </c>
      <c r="N566">
        <v>1</v>
      </c>
      <c r="X566">
        <v>12</v>
      </c>
      <c r="AB566" t="str">
        <f t="shared" si="8"/>
        <v>Dec</v>
      </c>
    </row>
    <row r="567" spans="1:28" x14ac:dyDescent="0.35">
      <c r="A567" t="s">
        <v>615</v>
      </c>
      <c r="B567">
        <v>32</v>
      </c>
      <c r="C567" t="s">
        <v>15</v>
      </c>
      <c r="D567" t="s">
        <v>25</v>
      </c>
      <c r="E567" t="s">
        <v>35</v>
      </c>
      <c r="F567" t="s">
        <v>27</v>
      </c>
      <c r="G567" s="1">
        <v>45490</v>
      </c>
      <c r="H567" s="1">
        <v>45507</v>
      </c>
      <c r="I567" s="4">
        <v>199309</v>
      </c>
      <c r="J567" t="s">
        <v>37</v>
      </c>
      <c r="K567" t="s">
        <v>42</v>
      </c>
      <c r="L567" t="s">
        <v>21</v>
      </c>
      <c r="M567" t="s">
        <v>22</v>
      </c>
      <c r="N567">
        <v>1</v>
      </c>
      <c r="X567">
        <v>7</v>
      </c>
      <c r="AB567" t="str">
        <f t="shared" si="8"/>
        <v>Jul</v>
      </c>
    </row>
    <row r="568" spans="1:28" x14ac:dyDescent="0.35">
      <c r="A568" t="s">
        <v>616</v>
      </c>
      <c r="B568">
        <v>45</v>
      </c>
      <c r="C568" t="s">
        <v>15</v>
      </c>
      <c r="D568" t="s">
        <v>58</v>
      </c>
      <c r="E568" t="s">
        <v>40</v>
      </c>
      <c r="F568" t="s">
        <v>56</v>
      </c>
      <c r="G568" s="1">
        <v>45783</v>
      </c>
      <c r="H568" s="1">
        <v>45800</v>
      </c>
      <c r="I568" s="4">
        <v>20545</v>
      </c>
      <c r="J568" t="s">
        <v>37</v>
      </c>
      <c r="K568" t="s">
        <v>29</v>
      </c>
      <c r="L568" t="s">
        <v>33</v>
      </c>
      <c r="M568" t="s">
        <v>38</v>
      </c>
      <c r="N568">
        <v>4</v>
      </c>
      <c r="X568">
        <v>5</v>
      </c>
      <c r="AB568" t="str">
        <f t="shared" si="8"/>
        <v>May</v>
      </c>
    </row>
    <row r="569" spans="1:28" x14ac:dyDescent="0.35">
      <c r="A569" t="s">
        <v>617</v>
      </c>
      <c r="B569">
        <v>68</v>
      </c>
      <c r="C569" t="s">
        <v>15</v>
      </c>
      <c r="D569" t="s">
        <v>53</v>
      </c>
      <c r="E569" t="s">
        <v>32</v>
      </c>
      <c r="F569" t="s">
        <v>41</v>
      </c>
      <c r="G569" s="1">
        <v>46000</v>
      </c>
      <c r="H569" s="1">
        <v>46012</v>
      </c>
      <c r="I569" s="4">
        <v>107793</v>
      </c>
      <c r="J569" t="s">
        <v>61</v>
      </c>
      <c r="K569" t="s">
        <v>63</v>
      </c>
      <c r="L569" t="s">
        <v>48</v>
      </c>
      <c r="M569" t="s">
        <v>38</v>
      </c>
      <c r="N569">
        <v>4</v>
      </c>
      <c r="X569">
        <v>12</v>
      </c>
      <c r="AB569" t="str">
        <f t="shared" si="8"/>
        <v>Dec</v>
      </c>
    </row>
    <row r="570" spans="1:28" x14ac:dyDescent="0.35">
      <c r="A570" t="s">
        <v>618</v>
      </c>
      <c r="B570">
        <v>70</v>
      </c>
      <c r="C570" t="s">
        <v>24</v>
      </c>
      <c r="D570" t="s">
        <v>50</v>
      </c>
      <c r="E570" t="s">
        <v>51</v>
      </c>
      <c r="F570" t="s">
        <v>36</v>
      </c>
      <c r="G570" s="1">
        <v>45756</v>
      </c>
      <c r="H570" s="1">
        <v>45758</v>
      </c>
      <c r="I570" s="4">
        <v>177871</v>
      </c>
      <c r="J570" t="s">
        <v>28</v>
      </c>
      <c r="K570" t="s">
        <v>29</v>
      </c>
      <c r="L570" t="s">
        <v>46</v>
      </c>
      <c r="M570" t="s">
        <v>64</v>
      </c>
      <c r="N570">
        <v>2</v>
      </c>
      <c r="X570">
        <v>4</v>
      </c>
      <c r="AB570" t="str">
        <f t="shared" si="8"/>
        <v>Apr</v>
      </c>
    </row>
    <row r="571" spans="1:28" x14ac:dyDescent="0.35">
      <c r="A571" t="s">
        <v>619</v>
      </c>
      <c r="B571">
        <v>76</v>
      </c>
      <c r="C571" t="s">
        <v>15</v>
      </c>
      <c r="D571" t="s">
        <v>45</v>
      </c>
      <c r="E571" t="s">
        <v>35</v>
      </c>
      <c r="F571" t="s">
        <v>27</v>
      </c>
      <c r="G571" s="1">
        <v>45363</v>
      </c>
      <c r="H571" s="1">
        <v>45376</v>
      </c>
      <c r="I571" s="4">
        <v>55022</v>
      </c>
      <c r="J571" t="s">
        <v>19</v>
      </c>
      <c r="K571" t="s">
        <v>63</v>
      </c>
      <c r="L571" t="s">
        <v>33</v>
      </c>
      <c r="M571" t="s">
        <v>22</v>
      </c>
      <c r="N571">
        <v>4</v>
      </c>
      <c r="X571">
        <v>3</v>
      </c>
      <c r="AB571" t="str">
        <f t="shared" si="8"/>
        <v>Mar</v>
      </c>
    </row>
    <row r="572" spans="1:28" x14ac:dyDescent="0.35">
      <c r="A572" t="s">
        <v>620</v>
      </c>
      <c r="B572">
        <v>29</v>
      </c>
      <c r="C572" t="s">
        <v>15</v>
      </c>
      <c r="D572" t="s">
        <v>58</v>
      </c>
      <c r="E572" t="s">
        <v>40</v>
      </c>
      <c r="F572" t="s">
        <v>18</v>
      </c>
      <c r="G572" s="1">
        <v>45734</v>
      </c>
      <c r="H572" s="1">
        <v>45738</v>
      </c>
      <c r="I572" s="4">
        <v>124130</v>
      </c>
      <c r="J572" t="s">
        <v>19</v>
      </c>
      <c r="K572" t="s">
        <v>20</v>
      </c>
      <c r="L572" t="s">
        <v>48</v>
      </c>
      <c r="M572" t="s">
        <v>38</v>
      </c>
      <c r="N572">
        <v>5</v>
      </c>
      <c r="X572">
        <v>3</v>
      </c>
      <c r="AB572" t="str">
        <f t="shared" si="8"/>
        <v>Mar</v>
      </c>
    </row>
    <row r="573" spans="1:28" x14ac:dyDescent="0.35">
      <c r="A573" t="s">
        <v>621</v>
      </c>
      <c r="B573">
        <v>46</v>
      </c>
      <c r="C573" t="s">
        <v>15</v>
      </c>
      <c r="D573" t="s">
        <v>45</v>
      </c>
      <c r="E573" t="s">
        <v>26</v>
      </c>
      <c r="F573" t="s">
        <v>27</v>
      </c>
      <c r="G573" s="1">
        <v>45545</v>
      </c>
      <c r="H573" s="1">
        <v>45547</v>
      </c>
      <c r="I573" s="4">
        <v>187657</v>
      </c>
      <c r="J573" t="s">
        <v>61</v>
      </c>
      <c r="K573" t="s">
        <v>29</v>
      </c>
      <c r="L573" t="s">
        <v>48</v>
      </c>
      <c r="M573" t="s">
        <v>38</v>
      </c>
      <c r="N573">
        <v>2</v>
      </c>
      <c r="X573">
        <v>9</v>
      </c>
      <c r="AB573" t="str">
        <f t="shared" si="8"/>
        <v>Sep</v>
      </c>
    </row>
    <row r="574" spans="1:28" x14ac:dyDescent="0.35">
      <c r="A574" t="s">
        <v>622</v>
      </c>
      <c r="B574">
        <v>72</v>
      </c>
      <c r="C574" t="s">
        <v>15</v>
      </c>
      <c r="D574" t="s">
        <v>45</v>
      </c>
      <c r="E574" t="s">
        <v>51</v>
      </c>
      <c r="F574" t="s">
        <v>18</v>
      </c>
      <c r="G574" s="1">
        <v>45961</v>
      </c>
      <c r="H574" s="1">
        <v>45973</v>
      </c>
      <c r="I574" s="4">
        <v>223242</v>
      </c>
      <c r="J574" t="s">
        <v>37</v>
      </c>
      <c r="K574" t="s">
        <v>20</v>
      </c>
      <c r="L574" t="s">
        <v>48</v>
      </c>
      <c r="M574" t="s">
        <v>22</v>
      </c>
      <c r="N574">
        <v>3</v>
      </c>
      <c r="X574">
        <v>10</v>
      </c>
      <c r="AB574" t="str">
        <f t="shared" si="8"/>
        <v>Oct</v>
      </c>
    </row>
    <row r="575" spans="1:28" x14ac:dyDescent="0.35">
      <c r="A575" t="s">
        <v>623</v>
      </c>
      <c r="B575">
        <v>85</v>
      </c>
      <c r="C575" t="s">
        <v>24</v>
      </c>
      <c r="D575" t="s">
        <v>25</v>
      </c>
      <c r="E575" t="s">
        <v>35</v>
      </c>
      <c r="F575" t="s">
        <v>41</v>
      </c>
      <c r="G575" s="1">
        <v>45357</v>
      </c>
      <c r="H575" s="1">
        <v>45375</v>
      </c>
      <c r="I575" s="4">
        <v>11531</v>
      </c>
      <c r="J575" t="s">
        <v>37</v>
      </c>
      <c r="K575" t="s">
        <v>63</v>
      </c>
      <c r="L575" t="s">
        <v>21</v>
      </c>
      <c r="M575" t="s">
        <v>22</v>
      </c>
      <c r="N575">
        <v>1</v>
      </c>
      <c r="X575">
        <v>3</v>
      </c>
      <c r="AB575" t="str">
        <f t="shared" si="8"/>
        <v>Mar</v>
      </c>
    </row>
    <row r="576" spans="1:28" x14ac:dyDescent="0.35">
      <c r="A576" t="s">
        <v>624</v>
      </c>
      <c r="B576">
        <v>31</v>
      </c>
      <c r="C576" t="s">
        <v>24</v>
      </c>
      <c r="D576" t="s">
        <v>53</v>
      </c>
      <c r="E576" t="s">
        <v>17</v>
      </c>
      <c r="F576" t="s">
        <v>56</v>
      </c>
      <c r="G576" s="1">
        <v>45858</v>
      </c>
      <c r="H576" s="1">
        <v>45862</v>
      </c>
      <c r="I576" s="4">
        <v>127235</v>
      </c>
      <c r="J576" t="s">
        <v>37</v>
      </c>
      <c r="K576" t="s">
        <v>42</v>
      </c>
      <c r="L576" t="s">
        <v>21</v>
      </c>
      <c r="M576" t="s">
        <v>64</v>
      </c>
      <c r="N576">
        <v>5</v>
      </c>
      <c r="X576">
        <v>7</v>
      </c>
      <c r="AB576" t="str">
        <f t="shared" si="8"/>
        <v>Jul</v>
      </c>
    </row>
    <row r="577" spans="1:28" x14ac:dyDescent="0.35">
      <c r="A577" t="s">
        <v>625</v>
      </c>
      <c r="B577">
        <v>79</v>
      </c>
      <c r="C577" t="s">
        <v>15</v>
      </c>
      <c r="D577" t="s">
        <v>31</v>
      </c>
      <c r="E577" t="s">
        <v>26</v>
      </c>
      <c r="F577" t="s">
        <v>36</v>
      </c>
      <c r="G577" s="1">
        <v>45707</v>
      </c>
      <c r="H577" s="1">
        <v>45718</v>
      </c>
      <c r="I577" s="4">
        <v>231363</v>
      </c>
      <c r="J577" t="s">
        <v>19</v>
      </c>
      <c r="K577" t="s">
        <v>42</v>
      </c>
      <c r="L577" t="s">
        <v>21</v>
      </c>
      <c r="M577" t="s">
        <v>64</v>
      </c>
      <c r="N577">
        <v>4</v>
      </c>
      <c r="X577">
        <v>2</v>
      </c>
      <c r="AB577" t="str">
        <f t="shared" si="8"/>
        <v>Feb</v>
      </c>
    </row>
    <row r="578" spans="1:28" x14ac:dyDescent="0.35">
      <c r="A578" t="s">
        <v>626</v>
      </c>
      <c r="B578">
        <v>54</v>
      </c>
      <c r="C578" t="s">
        <v>24</v>
      </c>
      <c r="D578" t="s">
        <v>45</v>
      </c>
      <c r="E578" t="s">
        <v>40</v>
      </c>
      <c r="F578" t="s">
        <v>18</v>
      </c>
      <c r="G578" s="1">
        <v>45408</v>
      </c>
      <c r="H578" s="1">
        <v>45409</v>
      </c>
      <c r="I578" s="4">
        <v>20668</v>
      </c>
      <c r="J578" t="s">
        <v>19</v>
      </c>
      <c r="K578" t="s">
        <v>42</v>
      </c>
      <c r="L578" t="s">
        <v>48</v>
      </c>
      <c r="M578" t="s">
        <v>22</v>
      </c>
      <c r="N578">
        <v>1</v>
      </c>
      <c r="X578">
        <v>4</v>
      </c>
      <c r="AB578" t="str">
        <f t="shared" si="8"/>
        <v>Apr</v>
      </c>
    </row>
    <row r="579" spans="1:28" x14ac:dyDescent="0.35">
      <c r="A579" t="s">
        <v>627</v>
      </c>
      <c r="B579">
        <v>49</v>
      </c>
      <c r="C579" t="s">
        <v>15</v>
      </c>
      <c r="D579" t="s">
        <v>31</v>
      </c>
      <c r="E579" t="s">
        <v>26</v>
      </c>
      <c r="F579" t="s">
        <v>56</v>
      </c>
      <c r="G579" s="1">
        <v>45389</v>
      </c>
      <c r="H579" s="1">
        <v>45395</v>
      </c>
      <c r="I579" s="4">
        <v>44328</v>
      </c>
      <c r="J579" t="s">
        <v>28</v>
      </c>
      <c r="K579" t="s">
        <v>20</v>
      </c>
      <c r="L579" t="s">
        <v>46</v>
      </c>
      <c r="M579" t="s">
        <v>22</v>
      </c>
      <c r="N579">
        <v>4</v>
      </c>
      <c r="X579">
        <v>4</v>
      </c>
      <c r="AB579" t="str">
        <f t="shared" ref="AB579:AB642" si="9">TEXT(G579,"mmm")</f>
        <v>Apr</v>
      </c>
    </row>
    <row r="580" spans="1:28" x14ac:dyDescent="0.35">
      <c r="A580" t="s">
        <v>628</v>
      </c>
      <c r="B580">
        <v>24</v>
      </c>
      <c r="C580" t="s">
        <v>15</v>
      </c>
      <c r="D580" t="s">
        <v>31</v>
      </c>
      <c r="E580" t="s">
        <v>35</v>
      </c>
      <c r="F580" t="s">
        <v>56</v>
      </c>
      <c r="G580" s="1">
        <v>45659</v>
      </c>
      <c r="H580" s="1">
        <v>45666</v>
      </c>
      <c r="I580" s="4">
        <v>222571</v>
      </c>
      <c r="J580" t="s">
        <v>61</v>
      </c>
      <c r="K580" t="s">
        <v>63</v>
      </c>
      <c r="L580" t="s">
        <v>43</v>
      </c>
      <c r="M580" t="s">
        <v>22</v>
      </c>
      <c r="N580">
        <v>3</v>
      </c>
      <c r="X580">
        <v>1</v>
      </c>
      <c r="AB580" t="str">
        <f t="shared" si="9"/>
        <v>Jan</v>
      </c>
    </row>
    <row r="581" spans="1:28" x14ac:dyDescent="0.35">
      <c r="A581" t="s">
        <v>629</v>
      </c>
      <c r="B581">
        <v>23</v>
      </c>
      <c r="C581" t="s">
        <v>24</v>
      </c>
      <c r="D581" t="s">
        <v>16</v>
      </c>
      <c r="E581" t="s">
        <v>17</v>
      </c>
      <c r="F581" t="s">
        <v>36</v>
      </c>
      <c r="G581" s="1">
        <v>45458</v>
      </c>
      <c r="H581" s="1">
        <v>45459</v>
      </c>
      <c r="I581" s="4">
        <v>159048</v>
      </c>
      <c r="J581" t="s">
        <v>61</v>
      </c>
      <c r="K581" t="s">
        <v>63</v>
      </c>
      <c r="L581" t="s">
        <v>33</v>
      </c>
      <c r="M581" t="s">
        <v>64</v>
      </c>
      <c r="N581">
        <v>1</v>
      </c>
      <c r="X581">
        <v>6</v>
      </c>
      <c r="AB581" t="str">
        <f t="shared" si="9"/>
        <v>Jun</v>
      </c>
    </row>
    <row r="582" spans="1:28" x14ac:dyDescent="0.35">
      <c r="A582" t="s">
        <v>630</v>
      </c>
      <c r="B582">
        <v>83</v>
      </c>
      <c r="C582" t="s">
        <v>15</v>
      </c>
      <c r="D582" t="s">
        <v>58</v>
      </c>
      <c r="E582" t="s">
        <v>40</v>
      </c>
      <c r="F582" t="s">
        <v>36</v>
      </c>
      <c r="G582" s="1">
        <v>45547</v>
      </c>
      <c r="H582" s="1">
        <v>45563</v>
      </c>
      <c r="I582" s="4">
        <v>138379</v>
      </c>
      <c r="J582" t="s">
        <v>28</v>
      </c>
      <c r="K582" t="s">
        <v>29</v>
      </c>
      <c r="L582" t="s">
        <v>21</v>
      </c>
      <c r="M582" t="s">
        <v>38</v>
      </c>
      <c r="N582">
        <v>4</v>
      </c>
      <c r="X582">
        <v>9</v>
      </c>
      <c r="AB582" t="str">
        <f t="shared" si="9"/>
        <v>Sep</v>
      </c>
    </row>
    <row r="583" spans="1:28" x14ac:dyDescent="0.35">
      <c r="A583" t="s">
        <v>631</v>
      </c>
      <c r="B583">
        <v>28</v>
      </c>
      <c r="C583" t="s">
        <v>15</v>
      </c>
      <c r="D583" t="s">
        <v>25</v>
      </c>
      <c r="E583" t="s">
        <v>32</v>
      </c>
      <c r="F583" t="s">
        <v>56</v>
      </c>
      <c r="G583" s="1">
        <v>45396</v>
      </c>
      <c r="H583" s="1">
        <v>45414</v>
      </c>
      <c r="I583" s="4">
        <v>167400</v>
      </c>
      <c r="J583" t="s">
        <v>61</v>
      </c>
      <c r="K583" t="s">
        <v>42</v>
      </c>
      <c r="L583" t="s">
        <v>33</v>
      </c>
      <c r="M583" t="s">
        <v>38</v>
      </c>
      <c r="N583">
        <v>3</v>
      </c>
      <c r="X583">
        <v>4</v>
      </c>
      <c r="AB583" t="str">
        <f t="shared" si="9"/>
        <v>Apr</v>
      </c>
    </row>
    <row r="584" spans="1:28" x14ac:dyDescent="0.35">
      <c r="A584" t="s">
        <v>632</v>
      </c>
      <c r="B584">
        <v>35</v>
      </c>
      <c r="C584" t="s">
        <v>24</v>
      </c>
      <c r="D584" t="s">
        <v>16</v>
      </c>
      <c r="E584" t="s">
        <v>32</v>
      </c>
      <c r="F584" t="s">
        <v>27</v>
      </c>
      <c r="G584" s="1">
        <v>45458</v>
      </c>
      <c r="H584" s="1">
        <v>45461</v>
      </c>
      <c r="I584" s="4">
        <v>197666</v>
      </c>
      <c r="J584" t="s">
        <v>61</v>
      </c>
      <c r="K584" t="s">
        <v>42</v>
      </c>
      <c r="L584" t="s">
        <v>21</v>
      </c>
      <c r="M584" t="s">
        <v>64</v>
      </c>
      <c r="N584">
        <v>5</v>
      </c>
      <c r="X584">
        <v>6</v>
      </c>
      <c r="AB584" t="str">
        <f t="shared" si="9"/>
        <v>Jun</v>
      </c>
    </row>
    <row r="585" spans="1:28" x14ac:dyDescent="0.35">
      <c r="A585" t="s">
        <v>633</v>
      </c>
      <c r="B585">
        <v>51</v>
      </c>
      <c r="C585" t="s">
        <v>15</v>
      </c>
      <c r="D585" t="s">
        <v>58</v>
      </c>
      <c r="E585" t="s">
        <v>26</v>
      </c>
      <c r="F585" t="s">
        <v>36</v>
      </c>
      <c r="G585" s="1">
        <v>45504</v>
      </c>
      <c r="H585" s="1">
        <v>45522</v>
      </c>
      <c r="I585" s="4">
        <v>213722</v>
      </c>
      <c r="J585" t="s">
        <v>37</v>
      </c>
      <c r="K585" t="s">
        <v>20</v>
      </c>
      <c r="L585" t="s">
        <v>21</v>
      </c>
      <c r="M585" t="s">
        <v>22</v>
      </c>
      <c r="N585">
        <v>5</v>
      </c>
      <c r="X585">
        <v>7</v>
      </c>
      <c r="AB585" t="str">
        <f t="shared" si="9"/>
        <v>Jul</v>
      </c>
    </row>
    <row r="586" spans="1:28" x14ac:dyDescent="0.35">
      <c r="A586" t="s">
        <v>634</v>
      </c>
      <c r="B586">
        <v>37</v>
      </c>
      <c r="C586" t="s">
        <v>15</v>
      </c>
      <c r="D586" t="s">
        <v>16</v>
      </c>
      <c r="E586" t="s">
        <v>17</v>
      </c>
      <c r="F586" t="s">
        <v>41</v>
      </c>
      <c r="G586" s="1">
        <v>45713</v>
      </c>
      <c r="H586" s="1">
        <v>45719</v>
      </c>
      <c r="I586" s="4">
        <v>80669</v>
      </c>
      <c r="J586" t="s">
        <v>37</v>
      </c>
      <c r="K586" t="s">
        <v>20</v>
      </c>
      <c r="L586" t="s">
        <v>48</v>
      </c>
      <c r="M586" t="s">
        <v>64</v>
      </c>
      <c r="N586">
        <v>1</v>
      </c>
      <c r="X586">
        <v>2</v>
      </c>
      <c r="AB586" t="str">
        <f t="shared" si="9"/>
        <v>Feb</v>
      </c>
    </row>
    <row r="587" spans="1:28" x14ac:dyDescent="0.35">
      <c r="A587" t="s">
        <v>635</v>
      </c>
      <c r="B587">
        <v>32</v>
      </c>
      <c r="C587" t="s">
        <v>15</v>
      </c>
      <c r="D587" t="s">
        <v>25</v>
      </c>
      <c r="E587" t="s">
        <v>51</v>
      </c>
      <c r="F587" t="s">
        <v>36</v>
      </c>
      <c r="G587" s="1">
        <v>45943</v>
      </c>
      <c r="H587" s="1">
        <v>45944</v>
      </c>
      <c r="I587" s="4">
        <v>54058</v>
      </c>
      <c r="J587" t="s">
        <v>19</v>
      </c>
      <c r="K587" t="s">
        <v>20</v>
      </c>
      <c r="L587" t="s">
        <v>46</v>
      </c>
      <c r="M587" t="s">
        <v>38</v>
      </c>
      <c r="N587">
        <v>1</v>
      </c>
      <c r="X587">
        <v>10</v>
      </c>
      <c r="AB587" t="str">
        <f t="shared" si="9"/>
        <v>Oct</v>
      </c>
    </row>
    <row r="588" spans="1:28" x14ac:dyDescent="0.35">
      <c r="A588" t="s">
        <v>636</v>
      </c>
      <c r="B588">
        <v>21</v>
      </c>
      <c r="C588" t="s">
        <v>24</v>
      </c>
      <c r="D588" t="s">
        <v>45</v>
      </c>
      <c r="E588" t="s">
        <v>40</v>
      </c>
      <c r="F588" t="s">
        <v>41</v>
      </c>
      <c r="G588" s="1">
        <v>45698</v>
      </c>
      <c r="H588" s="1">
        <v>45707</v>
      </c>
      <c r="I588" s="4">
        <v>243526</v>
      </c>
      <c r="J588" t="s">
        <v>37</v>
      </c>
      <c r="K588" t="s">
        <v>42</v>
      </c>
      <c r="L588" t="s">
        <v>21</v>
      </c>
      <c r="M588" t="s">
        <v>38</v>
      </c>
      <c r="N588">
        <v>4</v>
      </c>
      <c r="X588">
        <v>2</v>
      </c>
      <c r="AB588" t="str">
        <f t="shared" si="9"/>
        <v>Feb</v>
      </c>
    </row>
    <row r="589" spans="1:28" x14ac:dyDescent="0.35">
      <c r="A589" t="s">
        <v>637</v>
      </c>
      <c r="B589">
        <v>82</v>
      </c>
      <c r="C589" t="s">
        <v>15</v>
      </c>
      <c r="D589" t="s">
        <v>25</v>
      </c>
      <c r="E589" t="s">
        <v>35</v>
      </c>
      <c r="F589" t="s">
        <v>18</v>
      </c>
      <c r="G589" s="1">
        <v>45988</v>
      </c>
      <c r="H589" s="1">
        <v>45993</v>
      </c>
      <c r="I589" s="4">
        <v>52140</v>
      </c>
      <c r="J589" t="s">
        <v>19</v>
      </c>
      <c r="K589" t="s">
        <v>20</v>
      </c>
      <c r="L589" t="s">
        <v>43</v>
      </c>
      <c r="M589" t="s">
        <v>38</v>
      </c>
      <c r="N589">
        <v>4</v>
      </c>
      <c r="X589">
        <v>11</v>
      </c>
      <c r="AB589" t="str">
        <f t="shared" si="9"/>
        <v>Nov</v>
      </c>
    </row>
    <row r="590" spans="1:28" x14ac:dyDescent="0.35">
      <c r="A590" t="s">
        <v>638</v>
      </c>
      <c r="B590">
        <v>54</v>
      </c>
      <c r="C590" t="s">
        <v>24</v>
      </c>
      <c r="D590" t="s">
        <v>16</v>
      </c>
      <c r="E590" t="s">
        <v>51</v>
      </c>
      <c r="F590" t="s">
        <v>18</v>
      </c>
      <c r="G590" s="1">
        <v>45485</v>
      </c>
      <c r="H590" s="1">
        <v>45495</v>
      </c>
      <c r="I590" s="4">
        <v>79454</v>
      </c>
      <c r="J590" t="s">
        <v>19</v>
      </c>
      <c r="K590" t="s">
        <v>42</v>
      </c>
      <c r="L590" t="s">
        <v>33</v>
      </c>
      <c r="M590" t="s">
        <v>64</v>
      </c>
      <c r="N590">
        <v>2</v>
      </c>
      <c r="X590">
        <v>7</v>
      </c>
      <c r="AB590" t="str">
        <f t="shared" si="9"/>
        <v>Jul</v>
      </c>
    </row>
    <row r="591" spans="1:28" x14ac:dyDescent="0.35">
      <c r="A591" t="s">
        <v>639</v>
      </c>
      <c r="B591">
        <v>48</v>
      </c>
      <c r="C591" t="s">
        <v>15</v>
      </c>
      <c r="D591" t="s">
        <v>31</v>
      </c>
      <c r="E591" t="s">
        <v>32</v>
      </c>
      <c r="F591" t="s">
        <v>18</v>
      </c>
      <c r="G591" s="1">
        <v>45418</v>
      </c>
      <c r="H591" s="1">
        <v>45434</v>
      </c>
      <c r="I591" s="4">
        <v>190572</v>
      </c>
      <c r="J591" t="s">
        <v>61</v>
      </c>
      <c r="K591" t="s">
        <v>20</v>
      </c>
      <c r="L591" t="s">
        <v>46</v>
      </c>
      <c r="M591" t="s">
        <v>22</v>
      </c>
      <c r="N591">
        <v>3</v>
      </c>
      <c r="X591">
        <v>5</v>
      </c>
      <c r="AB591" t="str">
        <f t="shared" si="9"/>
        <v>May</v>
      </c>
    </row>
    <row r="592" spans="1:28" x14ac:dyDescent="0.35">
      <c r="A592" t="s">
        <v>640</v>
      </c>
      <c r="B592">
        <v>26</v>
      </c>
      <c r="C592" t="s">
        <v>15</v>
      </c>
      <c r="D592" t="s">
        <v>50</v>
      </c>
      <c r="E592" t="s">
        <v>26</v>
      </c>
      <c r="F592" t="s">
        <v>18</v>
      </c>
      <c r="G592" s="1">
        <v>45738</v>
      </c>
      <c r="H592" s="1">
        <v>45741</v>
      </c>
      <c r="I592" s="4">
        <v>224224</v>
      </c>
      <c r="J592" t="s">
        <v>19</v>
      </c>
      <c r="K592" t="s">
        <v>63</v>
      </c>
      <c r="L592" t="s">
        <v>46</v>
      </c>
      <c r="M592" t="s">
        <v>64</v>
      </c>
      <c r="N592">
        <v>3</v>
      </c>
      <c r="X592">
        <v>3</v>
      </c>
      <c r="AB592" t="str">
        <f t="shared" si="9"/>
        <v>Mar</v>
      </c>
    </row>
    <row r="593" spans="1:28" x14ac:dyDescent="0.35">
      <c r="A593" t="s">
        <v>641</v>
      </c>
      <c r="B593">
        <v>69</v>
      </c>
      <c r="C593" t="s">
        <v>24</v>
      </c>
      <c r="D593" t="s">
        <v>58</v>
      </c>
      <c r="E593" t="s">
        <v>40</v>
      </c>
      <c r="F593" t="s">
        <v>27</v>
      </c>
      <c r="G593" s="1">
        <v>45780</v>
      </c>
      <c r="H593" s="1">
        <v>45797</v>
      </c>
      <c r="I593" s="4">
        <v>137442</v>
      </c>
      <c r="J593" t="s">
        <v>37</v>
      </c>
      <c r="K593" t="s">
        <v>20</v>
      </c>
      <c r="L593" t="s">
        <v>48</v>
      </c>
      <c r="M593" t="s">
        <v>64</v>
      </c>
      <c r="N593">
        <v>2</v>
      </c>
      <c r="X593">
        <v>5</v>
      </c>
      <c r="AB593" t="str">
        <f t="shared" si="9"/>
        <v>May</v>
      </c>
    </row>
    <row r="594" spans="1:28" x14ac:dyDescent="0.35">
      <c r="A594" t="s">
        <v>642</v>
      </c>
      <c r="B594">
        <v>53</v>
      </c>
      <c r="C594" t="s">
        <v>24</v>
      </c>
      <c r="D594" t="s">
        <v>53</v>
      </c>
      <c r="E594" t="s">
        <v>35</v>
      </c>
      <c r="F594" t="s">
        <v>56</v>
      </c>
      <c r="G594" s="1">
        <v>45584</v>
      </c>
      <c r="H594" s="1">
        <v>45592</v>
      </c>
      <c r="I594" s="4">
        <v>137839</v>
      </c>
      <c r="J594" t="s">
        <v>61</v>
      </c>
      <c r="K594" t="s">
        <v>42</v>
      </c>
      <c r="L594" t="s">
        <v>46</v>
      </c>
      <c r="M594" t="s">
        <v>22</v>
      </c>
      <c r="N594">
        <v>5</v>
      </c>
      <c r="X594">
        <v>10</v>
      </c>
      <c r="AB594" t="str">
        <f t="shared" si="9"/>
        <v>Oct</v>
      </c>
    </row>
    <row r="595" spans="1:28" x14ac:dyDescent="0.35">
      <c r="A595" t="s">
        <v>643</v>
      </c>
      <c r="B595">
        <v>63</v>
      </c>
      <c r="C595" t="s">
        <v>15</v>
      </c>
      <c r="D595" t="s">
        <v>25</v>
      </c>
      <c r="E595" t="s">
        <v>35</v>
      </c>
      <c r="F595" t="s">
        <v>18</v>
      </c>
      <c r="G595" s="1">
        <v>45942</v>
      </c>
      <c r="H595" s="1">
        <v>45947</v>
      </c>
      <c r="I595" s="4">
        <v>164508</v>
      </c>
      <c r="J595" t="s">
        <v>19</v>
      </c>
      <c r="K595" t="s">
        <v>29</v>
      </c>
      <c r="L595" t="s">
        <v>33</v>
      </c>
      <c r="M595" t="s">
        <v>22</v>
      </c>
      <c r="N595">
        <v>5</v>
      </c>
      <c r="X595">
        <v>10</v>
      </c>
      <c r="AB595" t="str">
        <f t="shared" si="9"/>
        <v>Oct</v>
      </c>
    </row>
    <row r="596" spans="1:28" x14ac:dyDescent="0.35">
      <c r="A596" t="s">
        <v>644</v>
      </c>
      <c r="B596">
        <v>66</v>
      </c>
      <c r="C596" t="s">
        <v>24</v>
      </c>
      <c r="D596" t="s">
        <v>25</v>
      </c>
      <c r="E596" t="s">
        <v>17</v>
      </c>
      <c r="F596" t="s">
        <v>41</v>
      </c>
      <c r="G596" s="1">
        <v>45956</v>
      </c>
      <c r="H596" s="1">
        <v>45967</v>
      </c>
      <c r="I596" s="4">
        <v>70604</v>
      </c>
      <c r="J596" t="s">
        <v>28</v>
      </c>
      <c r="K596" t="s">
        <v>29</v>
      </c>
      <c r="L596" t="s">
        <v>33</v>
      </c>
      <c r="M596" t="s">
        <v>22</v>
      </c>
      <c r="N596">
        <v>1</v>
      </c>
      <c r="X596">
        <v>10</v>
      </c>
      <c r="AB596" t="str">
        <f t="shared" si="9"/>
        <v>Oct</v>
      </c>
    </row>
    <row r="597" spans="1:28" x14ac:dyDescent="0.35">
      <c r="A597" t="s">
        <v>645</v>
      </c>
      <c r="B597">
        <v>37</v>
      </c>
      <c r="C597" t="s">
        <v>15</v>
      </c>
      <c r="D597" t="s">
        <v>16</v>
      </c>
      <c r="E597" t="s">
        <v>26</v>
      </c>
      <c r="F597" t="s">
        <v>36</v>
      </c>
      <c r="G597" s="1">
        <v>45793</v>
      </c>
      <c r="H597" s="1">
        <v>45808</v>
      </c>
      <c r="I597" s="4">
        <v>152446</v>
      </c>
      <c r="J597" t="s">
        <v>37</v>
      </c>
      <c r="K597" t="s">
        <v>63</v>
      </c>
      <c r="L597" t="s">
        <v>33</v>
      </c>
      <c r="M597" t="s">
        <v>38</v>
      </c>
      <c r="N597">
        <v>3</v>
      </c>
      <c r="X597">
        <v>5</v>
      </c>
      <c r="AB597" t="str">
        <f t="shared" si="9"/>
        <v>May</v>
      </c>
    </row>
    <row r="598" spans="1:28" x14ac:dyDescent="0.35">
      <c r="A598" t="s">
        <v>646</v>
      </c>
      <c r="B598">
        <v>46</v>
      </c>
      <c r="C598" t="s">
        <v>15</v>
      </c>
      <c r="D598" t="s">
        <v>45</v>
      </c>
      <c r="E598" t="s">
        <v>17</v>
      </c>
      <c r="F598" t="s">
        <v>36</v>
      </c>
      <c r="G598" s="1">
        <v>45404</v>
      </c>
      <c r="H598" s="1">
        <v>45406</v>
      </c>
      <c r="I598" s="4">
        <v>181750</v>
      </c>
      <c r="J598" t="s">
        <v>28</v>
      </c>
      <c r="K598" t="s">
        <v>42</v>
      </c>
      <c r="L598" t="s">
        <v>46</v>
      </c>
      <c r="M598" t="s">
        <v>64</v>
      </c>
      <c r="N598">
        <v>5</v>
      </c>
      <c r="X598">
        <v>4</v>
      </c>
      <c r="AB598" t="str">
        <f t="shared" si="9"/>
        <v>Apr</v>
      </c>
    </row>
    <row r="599" spans="1:28" x14ac:dyDescent="0.35">
      <c r="A599" t="s">
        <v>647</v>
      </c>
      <c r="B599">
        <v>79</v>
      </c>
      <c r="C599" t="s">
        <v>15</v>
      </c>
      <c r="D599" t="s">
        <v>53</v>
      </c>
      <c r="E599" t="s">
        <v>40</v>
      </c>
      <c r="F599" t="s">
        <v>27</v>
      </c>
      <c r="G599" s="1">
        <v>45398</v>
      </c>
      <c r="H599" s="1">
        <v>45406</v>
      </c>
      <c r="I599" s="4">
        <v>18644</v>
      </c>
      <c r="J599" t="s">
        <v>37</v>
      </c>
      <c r="K599" t="s">
        <v>42</v>
      </c>
      <c r="L599" t="s">
        <v>48</v>
      </c>
      <c r="M599" t="s">
        <v>22</v>
      </c>
      <c r="N599">
        <v>1</v>
      </c>
      <c r="X599">
        <v>4</v>
      </c>
      <c r="AB599" t="str">
        <f t="shared" si="9"/>
        <v>Apr</v>
      </c>
    </row>
    <row r="600" spans="1:28" x14ac:dyDescent="0.35">
      <c r="A600" t="s">
        <v>648</v>
      </c>
      <c r="B600">
        <v>68</v>
      </c>
      <c r="C600" t="s">
        <v>15</v>
      </c>
      <c r="D600" t="s">
        <v>16</v>
      </c>
      <c r="E600" t="s">
        <v>51</v>
      </c>
      <c r="F600" t="s">
        <v>36</v>
      </c>
      <c r="G600" s="1">
        <v>46004</v>
      </c>
      <c r="H600" s="1">
        <v>46022</v>
      </c>
      <c r="I600" s="4">
        <v>146372</v>
      </c>
      <c r="J600" t="s">
        <v>61</v>
      </c>
      <c r="K600" t="s">
        <v>63</v>
      </c>
      <c r="L600" t="s">
        <v>21</v>
      </c>
      <c r="M600" t="s">
        <v>64</v>
      </c>
      <c r="N600">
        <v>1</v>
      </c>
      <c r="X600">
        <v>12</v>
      </c>
      <c r="AB600" t="str">
        <f t="shared" si="9"/>
        <v>Dec</v>
      </c>
    </row>
    <row r="601" spans="1:28" x14ac:dyDescent="0.35">
      <c r="A601" t="s">
        <v>649</v>
      </c>
      <c r="B601">
        <v>40</v>
      </c>
      <c r="C601" t="s">
        <v>24</v>
      </c>
      <c r="D601" t="s">
        <v>53</v>
      </c>
      <c r="E601" t="s">
        <v>26</v>
      </c>
      <c r="F601" t="s">
        <v>56</v>
      </c>
      <c r="G601" s="1">
        <v>45911</v>
      </c>
      <c r="H601" s="1">
        <v>45916</v>
      </c>
      <c r="I601" s="4">
        <v>100318</v>
      </c>
      <c r="J601" t="s">
        <v>61</v>
      </c>
      <c r="K601" t="s">
        <v>20</v>
      </c>
      <c r="L601" t="s">
        <v>43</v>
      </c>
      <c r="M601" t="s">
        <v>22</v>
      </c>
      <c r="N601">
        <v>2</v>
      </c>
      <c r="X601">
        <v>9</v>
      </c>
      <c r="AB601" t="str">
        <f t="shared" si="9"/>
        <v>Sep</v>
      </c>
    </row>
    <row r="602" spans="1:28" x14ac:dyDescent="0.35">
      <c r="A602" t="s">
        <v>650</v>
      </c>
      <c r="B602">
        <v>54</v>
      </c>
      <c r="C602" t="s">
        <v>15</v>
      </c>
      <c r="D602" t="s">
        <v>25</v>
      </c>
      <c r="E602" t="s">
        <v>26</v>
      </c>
      <c r="F602" t="s">
        <v>36</v>
      </c>
      <c r="G602" s="1">
        <v>45721</v>
      </c>
      <c r="H602" s="1">
        <v>45733</v>
      </c>
      <c r="I602" s="4">
        <v>155816</v>
      </c>
      <c r="J602" t="s">
        <v>61</v>
      </c>
      <c r="K602" t="s">
        <v>63</v>
      </c>
      <c r="L602" t="s">
        <v>46</v>
      </c>
      <c r="M602" t="s">
        <v>38</v>
      </c>
      <c r="N602">
        <v>4</v>
      </c>
      <c r="X602">
        <v>3</v>
      </c>
      <c r="AB602" t="str">
        <f t="shared" si="9"/>
        <v>Mar</v>
      </c>
    </row>
    <row r="603" spans="1:28" x14ac:dyDescent="0.35">
      <c r="A603" t="s">
        <v>651</v>
      </c>
      <c r="B603">
        <v>38</v>
      </c>
      <c r="C603" t="s">
        <v>15</v>
      </c>
      <c r="D603" t="s">
        <v>45</v>
      </c>
      <c r="E603" t="s">
        <v>17</v>
      </c>
      <c r="F603" t="s">
        <v>56</v>
      </c>
      <c r="G603" s="1">
        <v>45830</v>
      </c>
      <c r="H603" s="1">
        <v>45834</v>
      </c>
      <c r="I603" s="4">
        <v>23979</v>
      </c>
      <c r="J603" t="s">
        <v>37</v>
      </c>
      <c r="K603" t="s">
        <v>63</v>
      </c>
      <c r="L603" t="s">
        <v>43</v>
      </c>
      <c r="M603" t="s">
        <v>22</v>
      </c>
      <c r="N603">
        <v>4</v>
      </c>
      <c r="X603">
        <v>6</v>
      </c>
      <c r="AB603" t="str">
        <f t="shared" si="9"/>
        <v>Jun</v>
      </c>
    </row>
    <row r="604" spans="1:28" x14ac:dyDescent="0.35">
      <c r="A604" t="s">
        <v>652</v>
      </c>
      <c r="B604">
        <v>43</v>
      </c>
      <c r="C604" t="s">
        <v>24</v>
      </c>
      <c r="D604" t="s">
        <v>50</v>
      </c>
      <c r="E604" t="s">
        <v>51</v>
      </c>
      <c r="F604" t="s">
        <v>56</v>
      </c>
      <c r="G604" s="1">
        <v>45581</v>
      </c>
      <c r="H604" s="1">
        <v>45592</v>
      </c>
      <c r="I604" s="4">
        <v>153529</v>
      </c>
      <c r="J604" t="s">
        <v>28</v>
      </c>
      <c r="K604" t="s">
        <v>63</v>
      </c>
      <c r="L604" t="s">
        <v>48</v>
      </c>
      <c r="M604" t="s">
        <v>64</v>
      </c>
      <c r="N604">
        <v>4</v>
      </c>
      <c r="X604">
        <v>10</v>
      </c>
      <c r="AB604" t="str">
        <f t="shared" si="9"/>
        <v>Oct</v>
      </c>
    </row>
    <row r="605" spans="1:28" x14ac:dyDescent="0.35">
      <c r="A605" t="s">
        <v>653</v>
      </c>
      <c r="B605">
        <v>75</v>
      </c>
      <c r="C605" t="s">
        <v>24</v>
      </c>
      <c r="D605" t="s">
        <v>31</v>
      </c>
      <c r="E605" t="s">
        <v>35</v>
      </c>
      <c r="F605" t="s">
        <v>36</v>
      </c>
      <c r="G605" s="1">
        <v>45522</v>
      </c>
      <c r="H605" s="1">
        <v>45538</v>
      </c>
      <c r="I605" s="4">
        <v>118383</v>
      </c>
      <c r="J605" t="s">
        <v>28</v>
      </c>
      <c r="K605" t="s">
        <v>63</v>
      </c>
      <c r="L605" t="s">
        <v>46</v>
      </c>
      <c r="M605" t="s">
        <v>64</v>
      </c>
      <c r="N605">
        <v>4</v>
      </c>
      <c r="X605">
        <v>8</v>
      </c>
      <c r="AB605" t="str">
        <f t="shared" si="9"/>
        <v>Aug</v>
      </c>
    </row>
    <row r="606" spans="1:28" x14ac:dyDescent="0.35">
      <c r="A606" t="s">
        <v>654</v>
      </c>
      <c r="B606">
        <v>24</v>
      </c>
      <c r="C606" t="s">
        <v>24</v>
      </c>
      <c r="D606" t="s">
        <v>25</v>
      </c>
      <c r="E606" t="s">
        <v>17</v>
      </c>
      <c r="F606" t="s">
        <v>27</v>
      </c>
      <c r="G606" s="1">
        <v>46021</v>
      </c>
      <c r="H606" s="1">
        <v>46027</v>
      </c>
      <c r="I606" s="4">
        <v>88099</v>
      </c>
      <c r="J606" t="s">
        <v>37</v>
      </c>
      <c r="K606" t="s">
        <v>20</v>
      </c>
      <c r="L606" t="s">
        <v>43</v>
      </c>
      <c r="M606" t="s">
        <v>22</v>
      </c>
      <c r="N606">
        <v>5</v>
      </c>
      <c r="X606">
        <v>12</v>
      </c>
      <c r="AB606" t="str">
        <f t="shared" si="9"/>
        <v>Dec</v>
      </c>
    </row>
    <row r="607" spans="1:28" x14ac:dyDescent="0.35">
      <c r="A607" t="s">
        <v>655</v>
      </c>
      <c r="B607">
        <v>48</v>
      </c>
      <c r="C607" t="s">
        <v>24</v>
      </c>
      <c r="D607" t="s">
        <v>31</v>
      </c>
      <c r="E607" t="s">
        <v>35</v>
      </c>
      <c r="F607" t="s">
        <v>56</v>
      </c>
      <c r="G607" s="1">
        <v>45639</v>
      </c>
      <c r="H607" s="1">
        <v>45658</v>
      </c>
      <c r="I607" s="4">
        <v>236420</v>
      </c>
      <c r="J607" t="s">
        <v>28</v>
      </c>
      <c r="K607" t="s">
        <v>63</v>
      </c>
      <c r="L607" t="s">
        <v>21</v>
      </c>
      <c r="M607" t="s">
        <v>64</v>
      </c>
      <c r="N607">
        <v>4</v>
      </c>
      <c r="X607">
        <v>12</v>
      </c>
      <c r="AB607" t="str">
        <f t="shared" si="9"/>
        <v>Dec</v>
      </c>
    </row>
    <row r="608" spans="1:28" x14ac:dyDescent="0.35">
      <c r="A608" t="s">
        <v>656</v>
      </c>
      <c r="B608">
        <v>44</v>
      </c>
      <c r="C608" t="s">
        <v>24</v>
      </c>
      <c r="D608" t="s">
        <v>45</v>
      </c>
      <c r="E608" t="s">
        <v>35</v>
      </c>
      <c r="F608" t="s">
        <v>41</v>
      </c>
      <c r="G608" s="1">
        <v>45674</v>
      </c>
      <c r="H608" s="1">
        <v>45683</v>
      </c>
      <c r="I608" s="4">
        <v>133368</v>
      </c>
      <c r="J608" t="s">
        <v>37</v>
      </c>
      <c r="K608" t="s">
        <v>29</v>
      </c>
      <c r="L608" t="s">
        <v>46</v>
      </c>
      <c r="M608" t="s">
        <v>64</v>
      </c>
      <c r="N608">
        <v>1</v>
      </c>
      <c r="X608">
        <v>1</v>
      </c>
      <c r="AB608" t="str">
        <f t="shared" si="9"/>
        <v>Jan</v>
      </c>
    </row>
    <row r="609" spans="1:28" x14ac:dyDescent="0.35">
      <c r="A609" t="s">
        <v>657</v>
      </c>
      <c r="B609">
        <v>29</v>
      </c>
      <c r="C609" t="s">
        <v>24</v>
      </c>
      <c r="D609" t="s">
        <v>25</v>
      </c>
      <c r="E609" t="s">
        <v>51</v>
      </c>
      <c r="F609" t="s">
        <v>36</v>
      </c>
      <c r="G609" s="1">
        <v>45629</v>
      </c>
      <c r="H609" s="1">
        <v>45633</v>
      </c>
      <c r="I609" s="4">
        <v>212392</v>
      </c>
      <c r="J609" t="s">
        <v>28</v>
      </c>
      <c r="K609" t="s">
        <v>20</v>
      </c>
      <c r="L609" t="s">
        <v>48</v>
      </c>
      <c r="M609" t="s">
        <v>22</v>
      </c>
      <c r="N609">
        <v>2</v>
      </c>
      <c r="X609">
        <v>12</v>
      </c>
      <c r="AB609" t="str">
        <f t="shared" si="9"/>
        <v>Dec</v>
      </c>
    </row>
    <row r="610" spans="1:28" x14ac:dyDescent="0.35">
      <c r="A610" t="s">
        <v>658</v>
      </c>
      <c r="B610">
        <v>35</v>
      </c>
      <c r="C610" t="s">
        <v>24</v>
      </c>
      <c r="D610" t="s">
        <v>58</v>
      </c>
      <c r="E610" t="s">
        <v>40</v>
      </c>
      <c r="F610" t="s">
        <v>41</v>
      </c>
      <c r="G610" s="1">
        <v>45312</v>
      </c>
      <c r="H610" s="1">
        <v>45332</v>
      </c>
      <c r="I610" s="4">
        <v>207914</v>
      </c>
      <c r="J610" t="s">
        <v>19</v>
      </c>
      <c r="K610" t="s">
        <v>42</v>
      </c>
      <c r="L610" t="s">
        <v>33</v>
      </c>
      <c r="M610" t="s">
        <v>38</v>
      </c>
      <c r="N610">
        <v>3</v>
      </c>
      <c r="X610">
        <v>1</v>
      </c>
      <c r="AB610" t="str">
        <f t="shared" si="9"/>
        <v>Jan</v>
      </c>
    </row>
    <row r="611" spans="1:28" x14ac:dyDescent="0.35">
      <c r="A611" t="s">
        <v>659</v>
      </c>
      <c r="B611">
        <v>22</v>
      </c>
      <c r="C611" t="s">
        <v>24</v>
      </c>
      <c r="D611" t="s">
        <v>16</v>
      </c>
      <c r="E611" t="s">
        <v>17</v>
      </c>
      <c r="F611" t="s">
        <v>18</v>
      </c>
      <c r="G611" s="1">
        <v>45681</v>
      </c>
      <c r="H611" s="1">
        <v>45686</v>
      </c>
      <c r="I611" s="4">
        <v>107711</v>
      </c>
      <c r="J611" t="s">
        <v>61</v>
      </c>
      <c r="K611" t="s">
        <v>63</v>
      </c>
      <c r="L611" t="s">
        <v>46</v>
      </c>
      <c r="M611" t="s">
        <v>64</v>
      </c>
      <c r="N611">
        <v>4</v>
      </c>
      <c r="X611">
        <v>1</v>
      </c>
      <c r="AB611" t="str">
        <f t="shared" si="9"/>
        <v>Jan</v>
      </c>
    </row>
    <row r="612" spans="1:28" x14ac:dyDescent="0.35">
      <c r="A612" t="s">
        <v>660</v>
      </c>
      <c r="B612">
        <v>43</v>
      </c>
      <c r="C612" t="s">
        <v>15</v>
      </c>
      <c r="D612" t="s">
        <v>58</v>
      </c>
      <c r="E612" t="s">
        <v>17</v>
      </c>
      <c r="F612" t="s">
        <v>27</v>
      </c>
      <c r="G612" s="1">
        <v>45873</v>
      </c>
      <c r="H612" s="1">
        <v>45874</v>
      </c>
      <c r="I612" s="4">
        <v>75202</v>
      </c>
      <c r="J612" t="s">
        <v>61</v>
      </c>
      <c r="K612" t="s">
        <v>20</v>
      </c>
      <c r="L612" t="s">
        <v>21</v>
      </c>
      <c r="M612" t="s">
        <v>22</v>
      </c>
      <c r="N612">
        <v>1</v>
      </c>
      <c r="X612">
        <v>8</v>
      </c>
      <c r="AB612" t="str">
        <f t="shared" si="9"/>
        <v>Aug</v>
      </c>
    </row>
    <row r="613" spans="1:28" x14ac:dyDescent="0.35">
      <c r="A613" t="s">
        <v>661</v>
      </c>
      <c r="B613">
        <v>52</v>
      </c>
      <c r="C613" t="s">
        <v>15</v>
      </c>
      <c r="D613" t="s">
        <v>45</v>
      </c>
      <c r="E613" t="s">
        <v>17</v>
      </c>
      <c r="F613" t="s">
        <v>56</v>
      </c>
      <c r="G613" s="1">
        <v>45485</v>
      </c>
      <c r="H613" s="1">
        <v>45496</v>
      </c>
      <c r="I613" s="4">
        <v>125217</v>
      </c>
      <c r="J613" t="s">
        <v>28</v>
      </c>
      <c r="K613" t="s">
        <v>63</v>
      </c>
      <c r="L613" t="s">
        <v>33</v>
      </c>
      <c r="M613" t="s">
        <v>22</v>
      </c>
      <c r="N613">
        <v>3</v>
      </c>
      <c r="X613">
        <v>7</v>
      </c>
      <c r="AB613" t="str">
        <f t="shared" si="9"/>
        <v>Jul</v>
      </c>
    </row>
    <row r="614" spans="1:28" x14ac:dyDescent="0.35">
      <c r="A614" t="s">
        <v>662</v>
      </c>
      <c r="B614">
        <v>53</v>
      </c>
      <c r="C614" t="s">
        <v>24</v>
      </c>
      <c r="D614" t="s">
        <v>25</v>
      </c>
      <c r="E614" t="s">
        <v>32</v>
      </c>
      <c r="F614" t="s">
        <v>36</v>
      </c>
      <c r="G614" s="1">
        <v>45434</v>
      </c>
      <c r="H614" s="1">
        <v>45440</v>
      </c>
      <c r="I614" s="4">
        <v>178364</v>
      </c>
      <c r="J614" t="s">
        <v>37</v>
      </c>
      <c r="K614" t="s">
        <v>42</v>
      </c>
      <c r="L614" t="s">
        <v>21</v>
      </c>
      <c r="M614" t="s">
        <v>22</v>
      </c>
      <c r="N614">
        <v>5</v>
      </c>
      <c r="X614">
        <v>5</v>
      </c>
      <c r="AB614" t="str">
        <f t="shared" si="9"/>
        <v>May</v>
      </c>
    </row>
    <row r="615" spans="1:28" x14ac:dyDescent="0.35">
      <c r="A615" t="s">
        <v>663</v>
      </c>
      <c r="B615">
        <v>40</v>
      </c>
      <c r="C615" t="s">
        <v>24</v>
      </c>
      <c r="D615" t="s">
        <v>58</v>
      </c>
      <c r="E615" t="s">
        <v>51</v>
      </c>
      <c r="F615" t="s">
        <v>56</v>
      </c>
      <c r="G615" s="1">
        <v>45855</v>
      </c>
      <c r="H615" s="1">
        <v>45874</v>
      </c>
      <c r="I615" s="4">
        <v>180397</v>
      </c>
      <c r="J615" t="s">
        <v>28</v>
      </c>
      <c r="K615" t="s">
        <v>42</v>
      </c>
      <c r="L615" t="s">
        <v>33</v>
      </c>
      <c r="M615" t="s">
        <v>38</v>
      </c>
      <c r="N615">
        <v>2</v>
      </c>
      <c r="X615">
        <v>7</v>
      </c>
      <c r="AB615" t="str">
        <f t="shared" si="9"/>
        <v>Jul</v>
      </c>
    </row>
    <row r="616" spans="1:28" x14ac:dyDescent="0.35">
      <c r="A616" t="s">
        <v>664</v>
      </c>
      <c r="B616">
        <v>60</v>
      </c>
      <c r="C616" t="s">
        <v>24</v>
      </c>
      <c r="D616" t="s">
        <v>53</v>
      </c>
      <c r="E616" t="s">
        <v>40</v>
      </c>
      <c r="F616" t="s">
        <v>27</v>
      </c>
      <c r="G616" s="1">
        <v>45454</v>
      </c>
      <c r="H616" s="1">
        <v>45468</v>
      </c>
      <c r="I616" s="4">
        <v>31999</v>
      </c>
      <c r="J616" t="s">
        <v>61</v>
      </c>
      <c r="K616" t="s">
        <v>63</v>
      </c>
      <c r="L616" t="s">
        <v>43</v>
      </c>
      <c r="M616" t="s">
        <v>22</v>
      </c>
      <c r="N616">
        <v>3</v>
      </c>
      <c r="X616">
        <v>6</v>
      </c>
      <c r="AB616" t="str">
        <f t="shared" si="9"/>
        <v>Jun</v>
      </c>
    </row>
    <row r="617" spans="1:28" x14ac:dyDescent="0.35">
      <c r="A617" t="s">
        <v>665</v>
      </c>
      <c r="B617">
        <v>57</v>
      </c>
      <c r="C617" t="s">
        <v>15</v>
      </c>
      <c r="D617" t="s">
        <v>45</v>
      </c>
      <c r="E617" t="s">
        <v>26</v>
      </c>
      <c r="F617" t="s">
        <v>56</v>
      </c>
      <c r="G617" s="1">
        <v>45984</v>
      </c>
      <c r="H617" s="1">
        <v>45991</v>
      </c>
      <c r="I617" s="4">
        <v>118548</v>
      </c>
      <c r="J617" t="s">
        <v>61</v>
      </c>
      <c r="K617" t="s">
        <v>42</v>
      </c>
      <c r="L617" t="s">
        <v>46</v>
      </c>
      <c r="M617" t="s">
        <v>38</v>
      </c>
      <c r="N617">
        <v>2</v>
      </c>
      <c r="X617">
        <v>11</v>
      </c>
      <c r="AB617" t="str">
        <f t="shared" si="9"/>
        <v>Nov</v>
      </c>
    </row>
    <row r="618" spans="1:28" x14ac:dyDescent="0.35">
      <c r="A618" t="s">
        <v>666</v>
      </c>
      <c r="B618">
        <v>59</v>
      </c>
      <c r="C618" t="s">
        <v>24</v>
      </c>
      <c r="D618" t="s">
        <v>50</v>
      </c>
      <c r="E618" t="s">
        <v>35</v>
      </c>
      <c r="F618" t="s">
        <v>18</v>
      </c>
      <c r="G618" s="1">
        <v>45914</v>
      </c>
      <c r="H618" s="1">
        <v>45925</v>
      </c>
      <c r="I618" s="4">
        <v>55804</v>
      </c>
      <c r="J618" t="s">
        <v>28</v>
      </c>
      <c r="K618" t="s">
        <v>42</v>
      </c>
      <c r="L618" t="s">
        <v>21</v>
      </c>
      <c r="M618" t="s">
        <v>22</v>
      </c>
      <c r="N618">
        <v>3</v>
      </c>
      <c r="X618">
        <v>9</v>
      </c>
      <c r="AB618" t="str">
        <f t="shared" si="9"/>
        <v>Sep</v>
      </c>
    </row>
    <row r="619" spans="1:28" x14ac:dyDescent="0.35">
      <c r="A619" t="s">
        <v>667</v>
      </c>
      <c r="B619">
        <v>41</v>
      </c>
      <c r="C619" t="s">
        <v>15</v>
      </c>
      <c r="D619" t="s">
        <v>16</v>
      </c>
      <c r="E619" t="s">
        <v>40</v>
      </c>
      <c r="F619" t="s">
        <v>41</v>
      </c>
      <c r="G619" s="1">
        <v>45889</v>
      </c>
      <c r="H619" s="1">
        <v>45895</v>
      </c>
      <c r="I619" s="4">
        <v>54133</v>
      </c>
      <c r="J619" t="s">
        <v>61</v>
      </c>
      <c r="K619" t="s">
        <v>63</v>
      </c>
      <c r="L619" t="s">
        <v>43</v>
      </c>
      <c r="M619" t="s">
        <v>22</v>
      </c>
      <c r="N619">
        <v>2</v>
      </c>
      <c r="X619">
        <v>8</v>
      </c>
      <c r="AB619" t="str">
        <f t="shared" si="9"/>
        <v>Aug</v>
      </c>
    </row>
    <row r="620" spans="1:28" x14ac:dyDescent="0.35">
      <c r="A620" t="s">
        <v>668</v>
      </c>
      <c r="B620">
        <v>57</v>
      </c>
      <c r="C620" t="s">
        <v>15</v>
      </c>
      <c r="D620" t="s">
        <v>53</v>
      </c>
      <c r="E620" t="s">
        <v>40</v>
      </c>
      <c r="F620" t="s">
        <v>18</v>
      </c>
      <c r="G620" s="1">
        <v>45888</v>
      </c>
      <c r="H620" s="1">
        <v>45894</v>
      </c>
      <c r="I620" s="4">
        <v>133135</v>
      </c>
      <c r="J620" t="s">
        <v>37</v>
      </c>
      <c r="K620" t="s">
        <v>20</v>
      </c>
      <c r="L620" t="s">
        <v>46</v>
      </c>
      <c r="M620" t="s">
        <v>38</v>
      </c>
      <c r="N620">
        <v>2</v>
      </c>
      <c r="X620">
        <v>8</v>
      </c>
      <c r="AB620" t="str">
        <f t="shared" si="9"/>
        <v>Aug</v>
      </c>
    </row>
    <row r="621" spans="1:28" x14ac:dyDescent="0.35">
      <c r="A621" t="s">
        <v>669</v>
      </c>
      <c r="B621">
        <v>27</v>
      </c>
      <c r="C621" t="s">
        <v>24</v>
      </c>
      <c r="D621" t="s">
        <v>16</v>
      </c>
      <c r="E621" t="s">
        <v>51</v>
      </c>
      <c r="F621" t="s">
        <v>18</v>
      </c>
      <c r="G621" s="1">
        <v>45655</v>
      </c>
      <c r="H621" s="1">
        <v>45675</v>
      </c>
      <c r="I621" s="4">
        <v>18714</v>
      </c>
      <c r="J621" t="s">
        <v>19</v>
      </c>
      <c r="K621" t="s">
        <v>63</v>
      </c>
      <c r="L621" t="s">
        <v>21</v>
      </c>
      <c r="M621" t="s">
        <v>38</v>
      </c>
      <c r="N621">
        <v>5</v>
      </c>
      <c r="X621">
        <v>12</v>
      </c>
      <c r="AB621" t="str">
        <f t="shared" si="9"/>
        <v>Dec</v>
      </c>
    </row>
    <row r="622" spans="1:28" x14ac:dyDescent="0.35">
      <c r="A622" t="s">
        <v>670</v>
      </c>
      <c r="B622">
        <v>34</v>
      </c>
      <c r="C622" t="s">
        <v>15</v>
      </c>
      <c r="D622" t="s">
        <v>31</v>
      </c>
      <c r="E622" t="s">
        <v>40</v>
      </c>
      <c r="F622" t="s">
        <v>18</v>
      </c>
      <c r="G622" s="1">
        <v>45925</v>
      </c>
      <c r="H622" s="1">
        <v>45938</v>
      </c>
      <c r="I622" s="4">
        <v>187523</v>
      </c>
      <c r="J622" t="s">
        <v>28</v>
      </c>
      <c r="K622" t="s">
        <v>42</v>
      </c>
      <c r="L622" t="s">
        <v>48</v>
      </c>
      <c r="M622" t="s">
        <v>22</v>
      </c>
      <c r="N622">
        <v>5</v>
      </c>
      <c r="X622">
        <v>9</v>
      </c>
      <c r="AB622" t="str">
        <f t="shared" si="9"/>
        <v>Sep</v>
      </c>
    </row>
    <row r="623" spans="1:28" x14ac:dyDescent="0.35">
      <c r="A623" t="s">
        <v>671</v>
      </c>
      <c r="B623">
        <v>67</v>
      </c>
      <c r="C623" t="s">
        <v>15</v>
      </c>
      <c r="D623" t="s">
        <v>45</v>
      </c>
      <c r="E623" t="s">
        <v>32</v>
      </c>
      <c r="F623" t="s">
        <v>36</v>
      </c>
      <c r="G623" s="1">
        <v>45576</v>
      </c>
      <c r="H623" s="1">
        <v>45594</v>
      </c>
      <c r="I623" s="4">
        <v>34829</v>
      </c>
      <c r="J623" t="s">
        <v>28</v>
      </c>
      <c r="K623" t="s">
        <v>42</v>
      </c>
      <c r="L623" t="s">
        <v>46</v>
      </c>
      <c r="M623" t="s">
        <v>64</v>
      </c>
      <c r="N623">
        <v>2</v>
      </c>
      <c r="X623">
        <v>10</v>
      </c>
      <c r="AB623" t="str">
        <f t="shared" si="9"/>
        <v>Oct</v>
      </c>
    </row>
    <row r="624" spans="1:28" x14ac:dyDescent="0.35">
      <c r="A624" t="s">
        <v>672</v>
      </c>
      <c r="B624">
        <v>83</v>
      </c>
      <c r="C624" t="s">
        <v>24</v>
      </c>
      <c r="D624" t="s">
        <v>53</v>
      </c>
      <c r="E624" t="s">
        <v>40</v>
      </c>
      <c r="F624" t="s">
        <v>56</v>
      </c>
      <c r="G624" s="1">
        <v>45292</v>
      </c>
      <c r="H624" s="1">
        <v>45302</v>
      </c>
      <c r="I624" s="4">
        <v>159046</v>
      </c>
      <c r="J624" t="s">
        <v>61</v>
      </c>
      <c r="K624" t="s">
        <v>63</v>
      </c>
      <c r="L624" t="s">
        <v>21</v>
      </c>
      <c r="M624" t="s">
        <v>64</v>
      </c>
      <c r="N624">
        <v>4</v>
      </c>
      <c r="X624">
        <v>1</v>
      </c>
      <c r="AB624" t="str">
        <f t="shared" si="9"/>
        <v>Jan</v>
      </c>
    </row>
    <row r="625" spans="1:28" x14ac:dyDescent="0.35">
      <c r="A625" t="s">
        <v>673</v>
      </c>
      <c r="B625">
        <v>84</v>
      </c>
      <c r="C625" t="s">
        <v>24</v>
      </c>
      <c r="D625" t="s">
        <v>45</v>
      </c>
      <c r="E625" t="s">
        <v>32</v>
      </c>
      <c r="F625" t="s">
        <v>56</v>
      </c>
      <c r="G625" s="1">
        <v>45570</v>
      </c>
      <c r="H625" s="1">
        <v>45573</v>
      </c>
      <c r="I625" s="4">
        <v>21228</v>
      </c>
      <c r="J625" t="s">
        <v>19</v>
      </c>
      <c r="K625" t="s">
        <v>42</v>
      </c>
      <c r="L625" t="s">
        <v>46</v>
      </c>
      <c r="M625" t="s">
        <v>22</v>
      </c>
      <c r="N625">
        <v>4</v>
      </c>
      <c r="X625">
        <v>10</v>
      </c>
      <c r="AB625" t="str">
        <f t="shared" si="9"/>
        <v>Oct</v>
      </c>
    </row>
    <row r="626" spans="1:28" x14ac:dyDescent="0.35">
      <c r="A626" t="s">
        <v>674</v>
      </c>
      <c r="B626">
        <v>45</v>
      </c>
      <c r="C626" t="s">
        <v>24</v>
      </c>
      <c r="D626" t="s">
        <v>58</v>
      </c>
      <c r="E626" t="s">
        <v>40</v>
      </c>
      <c r="F626" t="s">
        <v>27</v>
      </c>
      <c r="G626" s="1">
        <v>45829</v>
      </c>
      <c r="H626" s="1">
        <v>45846</v>
      </c>
      <c r="I626" s="4">
        <v>92603</v>
      </c>
      <c r="J626" t="s">
        <v>28</v>
      </c>
      <c r="K626" t="s">
        <v>29</v>
      </c>
      <c r="L626" t="s">
        <v>46</v>
      </c>
      <c r="M626" t="s">
        <v>64</v>
      </c>
      <c r="N626">
        <v>1</v>
      </c>
      <c r="X626">
        <v>6</v>
      </c>
      <c r="AB626" t="str">
        <f t="shared" si="9"/>
        <v>Jun</v>
      </c>
    </row>
    <row r="627" spans="1:28" x14ac:dyDescent="0.35">
      <c r="A627" t="s">
        <v>675</v>
      </c>
      <c r="B627">
        <v>74</v>
      </c>
      <c r="C627" t="s">
        <v>24</v>
      </c>
      <c r="D627" t="s">
        <v>50</v>
      </c>
      <c r="E627" t="s">
        <v>26</v>
      </c>
      <c r="F627" t="s">
        <v>41</v>
      </c>
      <c r="G627" s="1">
        <v>45461</v>
      </c>
      <c r="H627" s="1">
        <v>45463</v>
      </c>
      <c r="I627" s="4">
        <v>123018</v>
      </c>
      <c r="J627" t="s">
        <v>37</v>
      </c>
      <c r="K627" t="s">
        <v>29</v>
      </c>
      <c r="L627" t="s">
        <v>33</v>
      </c>
      <c r="M627" t="s">
        <v>38</v>
      </c>
      <c r="N627">
        <v>2</v>
      </c>
      <c r="X627">
        <v>6</v>
      </c>
      <c r="AB627" t="str">
        <f t="shared" si="9"/>
        <v>Jun</v>
      </c>
    </row>
    <row r="628" spans="1:28" x14ac:dyDescent="0.35">
      <c r="A628" t="s">
        <v>676</v>
      </c>
      <c r="B628">
        <v>42</v>
      </c>
      <c r="C628" t="s">
        <v>15</v>
      </c>
      <c r="D628" t="s">
        <v>25</v>
      </c>
      <c r="E628" t="s">
        <v>51</v>
      </c>
      <c r="F628" t="s">
        <v>18</v>
      </c>
      <c r="G628" s="1">
        <v>45919</v>
      </c>
      <c r="H628" s="1">
        <v>45923</v>
      </c>
      <c r="I628" s="4">
        <v>54161</v>
      </c>
      <c r="J628" t="s">
        <v>28</v>
      </c>
      <c r="K628" t="s">
        <v>42</v>
      </c>
      <c r="L628" t="s">
        <v>46</v>
      </c>
      <c r="M628" t="s">
        <v>64</v>
      </c>
      <c r="N628">
        <v>1</v>
      </c>
      <c r="X628">
        <v>9</v>
      </c>
      <c r="AB628" t="str">
        <f t="shared" si="9"/>
        <v>Sep</v>
      </c>
    </row>
    <row r="629" spans="1:28" x14ac:dyDescent="0.35">
      <c r="A629" t="s">
        <v>677</v>
      </c>
      <c r="B629">
        <v>42</v>
      </c>
      <c r="C629" t="s">
        <v>15</v>
      </c>
      <c r="D629" t="s">
        <v>53</v>
      </c>
      <c r="E629" t="s">
        <v>35</v>
      </c>
      <c r="F629" t="s">
        <v>27</v>
      </c>
      <c r="G629" s="1">
        <v>45782</v>
      </c>
      <c r="H629" s="1">
        <v>45792</v>
      </c>
      <c r="I629" s="4">
        <v>21072</v>
      </c>
      <c r="J629" t="s">
        <v>37</v>
      </c>
      <c r="K629" t="s">
        <v>29</v>
      </c>
      <c r="L629" t="s">
        <v>46</v>
      </c>
      <c r="M629" t="s">
        <v>64</v>
      </c>
      <c r="N629">
        <v>5</v>
      </c>
      <c r="X629">
        <v>5</v>
      </c>
      <c r="AB629" t="str">
        <f t="shared" si="9"/>
        <v>May</v>
      </c>
    </row>
    <row r="630" spans="1:28" x14ac:dyDescent="0.35">
      <c r="A630" t="s">
        <v>678</v>
      </c>
      <c r="B630">
        <v>51</v>
      </c>
      <c r="C630" t="s">
        <v>24</v>
      </c>
      <c r="D630" t="s">
        <v>58</v>
      </c>
      <c r="E630" t="s">
        <v>26</v>
      </c>
      <c r="F630" t="s">
        <v>18</v>
      </c>
      <c r="G630" s="1">
        <v>45724</v>
      </c>
      <c r="H630" s="1">
        <v>45731</v>
      </c>
      <c r="I630" s="4">
        <v>132429</v>
      </c>
      <c r="J630" t="s">
        <v>19</v>
      </c>
      <c r="K630" t="s">
        <v>63</v>
      </c>
      <c r="L630" t="s">
        <v>33</v>
      </c>
      <c r="M630" t="s">
        <v>64</v>
      </c>
      <c r="N630">
        <v>2</v>
      </c>
      <c r="X630">
        <v>3</v>
      </c>
      <c r="AB630" t="str">
        <f t="shared" si="9"/>
        <v>Mar</v>
      </c>
    </row>
    <row r="631" spans="1:28" x14ac:dyDescent="0.35">
      <c r="A631" t="s">
        <v>679</v>
      </c>
      <c r="B631">
        <v>78</v>
      </c>
      <c r="C631" t="s">
        <v>15</v>
      </c>
      <c r="D631" t="s">
        <v>16</v>
      </c>
      <c r="E631" t="s">
        <v>26</v>
      </c>
      <c r="F631" t="s">
        <v>56</v>
      </c>
      <c r="G631" s="1">
        <v>45842</v>
      </c>
      <c r="H631" s="1">
        <v>45855</v>
      </c>
      <c r="I631" s="4">
        <v>106642</v>
      </c>
      <c r="J631" t="s">
        <v>61</v>
      </c>
      <c r="K631" t="s">
        <v>20</v>
      </c>
      <c r="L631" t="s">
        <v>21</v>
      </c>
      <c r="M631" t="s">
        <v>22</v>
      </c>
      <c r="N631">
        <v>4</v>
      </c>
      <c r="X631">
        <v>7</v>
      </c>
      <c r="AB631" t="str">
        <f t="shared" si="9"/>
        <v>Jul</v>
      </c>
    </row>
    <row r="632" spans="1:28" x14ac:dyDescent="0.35">
      <c r="A632" t="s">
        <v>680</v>
      </c>
      <c r="B632">
        <v>36</v>
      </c>
      <c r="C632" t="s">
        <v>24</v>
      </c>
      <c r="D632" t="s">
        <v>50</v>
      </c>
      <c r="E632" t="s">
        <v>17</v>
      </c>
      <c r="F632" t="s">
        <v>18</v>
      </c>
      <c r="G632" s="1">
        <v>45506</v>
      </c>
      <c r="H632" s="1">
        <v>45509</v>
      </c>
      <c r="I632" s="4">
        <v>141223</v>
      </c>
      <c r="J632" t="s">
        <v>28</v>
      </c>
      <c r="K632" t="s">
        <v>29</v>
      </c>
      <c r="L632" t="s">
        <v>48</v>
      </c>
      <c r="M632" t="s">
        <v>22</v>
      </c>
      <c r="N632">
        <v>5</v>
      </c>
      <c r="X632">
        <v>8</v>
      </c>
      <c r="AB632" t="str">
        <f t="shared" si="9"/>
        <v>Aug</v>
      </c>
    </row>
    <row r="633" spans="1:28" x14ac:dyDescent="0.35">
      <c r="A633" t="s">
        <v>681</v>
      </c>
      <c r="B633">
        <v>82</v>
      </c>
      <c r="C633" t="s">
        <v>15</v>
      </c>
      <c r="D633" t="s">
        <v>58</v>
      </c>
      <c r="E633" t="s">
        <v>40</v>
      </c>
      <c r="F633" t="s">
        <v>36</v>
      </c>
      <c r="G633" s="1">
        <v>45670</v>
      </c>
      <c r="H633" s="1">
        <v>45678</v>
      </c>
      <c r="I633" s="4">
        <v>16518</v>
      </c>
      <c r="J633" t="s">
        <v>28</v>
      </c>
      <c r="K633" t="s">
        <v>20</v>
      </c>
      <c r="L633" t="s">
        <v>48</v>
      </c>
      <c r="M633" t="s">
        <v>64</v>
      </c>
      <c r="N633">
        <v>2</v>
      </c>
      <c r="X633">
        <v>1</v>
      </c>
      <c r="AB633" t="str">
        <f t="shared" si="9"/>
        <v>Jan</v>
      </c>
    </row>
    <row r="634" spans="1:28" x14ac:dyDescent="0.35">
      <c r="A634" t="s">
        <v>682</v>
      </c>
      <c r="B634">
        <v>30</v>
      </c>
      <c r="C634" t="s">
        <v>15</v>
      </c>
      <c r="D634" t="s">
        <v>50</v>
      </c>
      <c r="E634" t="s">
        <v>26</v>
      </c>
      <c r="F634" t="s">
        <v>41</v>
      </c>
      <c r="G634" s="1">
        <v>45963</v>
      </c>
      <c r="H634" s="1">
        <v>45973</v>
      </c>
      <c r="I634" s="4">
        <v>105529</v>
      </c>
      <c r="J634" t="s">
        <v>61</v>
      </c>
      <c r="K634" t="s">
        <v>42</v>
      </c>
      <c r="L634" t="s">
        <v>33</v>
      </c>
      <c r="M634" t="s">
        <v>22</v>
      </c>
      <c r="N634">
        <v>3</v>
      </c>
      <c r="X634">
        <v>11</v>
      </c>
      <c r="AB634" t="str">
        <f t="shared" si="9"/>
        <v>Nov</v>
      </c>
    </row>
    <row r="635" spans="1:28" x14ac:dyDescent="0.35">
      <c r="A635" t="s">
        <v>683</v>
      </c>
      <c r="B635">
        <v>60</v>
      </c>
      <c r="C635" t="s">
        <v>24</v>
      </c>
      <c r="D635" t="s">
        <v>16</v>
      </c>
      <c r="E635" t="s">
        <v>51</v>
      </c>
      <c r="F635" t="s">
        <v>56</v>
      </c>
      <c r="G635" s="1">
        <v>45642</v>
      </c>
      <c r="H635" s="1">
        <v>45648</v>
      </c>
      <c r="I635" s="4">
        <v>138227</v>
      </c>
      <c r="J635" t="s">
        <v>28</v>
      </c>
      <c r="K635" t="s">
        <v>20</v>
      </c>
      <c r="L635" t="s">
        <v>43</v>
      </c>
      <c r="M635" t="s">
        <v>22</v>
      </c>
      <c r="N635">
        <v>4</v>
      </c>
      <c r="X635">
        <v>12</v>
      </c>
      <c r="AB635" t="str">
        <f t="shared" si="9"/>
        <v>Dec</v>
      </c>
    </row>
    <row r="636" spans="1:28" x14ac:dyDescent="0.35">
      <c r="A636" t="s">
        <v>684</v>
      </c>
      <c r="B636">
        <v>62</v>
      </c>
      <c r="C636" t="s">
        <v>24</v>
      </c>
      <c r="D636" t="s">
        <v>16</v>
      </c>
      <c r="E636" t="s">
        <v>17</v>
      </c>
      <c r="F636" t="s">
        <v>56</v>
      </c>
      <c r="G636" s="1">
        <v>45931</v>
      </c>
      <c r="H636" s="1">
        <v>45944</v>
      </c>
      <c r="I636" s="4">
        <v>149310</v>
      </c>
      <c r="J636" t="s">
        <v>37</v>
      </c>
      <c r="K636" t="s">
        <v>20</v>
      </c>
      <c r="L636" t="s">
        <v>33</v>
      </c>
      <c r="M636" t="s">
        <v>38</v>
      </c>
      <c r="N636">
        <v>3</v>
      </c>
      <c r="X636">
        <v>10</v>
      </c>
      <c r="AB636" t="str">
        <f t="shared" si="9"/>
        <v>Oct</v>
      </c>
    </row>
    <row r="637" spans="1:28" x14ac:dyDescent="0.35">
      <c r="A637" t="s">
        <v>685</v>
      </c>
      <c r="B637">
        <v>23</v>
      </c>
      <c r="C637" t="s">
        <v>24</v>
      </c>
      <c r="D637" t="s">
        <v>45</v>
      </c>
      <c r="E637" t="s">
        <v>51</v>
      </c>
      <c r="F637" t="s">
        <v>27</v>
      </c>
      <c r="G637" s="1">
        <v>45792</v>
      </c>
      <c r="H637" s="1">
        <v>45799</v>
      </c>
      <c r="I637" s="4">
        <v>118718</v>
      </c>
      <c r="J637" t="s">
        <v>28</v>
      </c>
      <c r="K637" t="s">
        <v>20</v>
      </c>
      <c r="L637" t="s">
        <v>46</v>
      </c>
      <c r="M637" t="s">
        <v>64</v>
      </c>
      <c r="N637">
        <v>4</v>
      </c>
      <c r="X637">
        <v>5</v>
      </c>
      <c r="AB637" t="str">
        <f t="shared" si="9"/>
        <v>May</v>
      </c>
    </row>
    <row r="638" spans="1:28" x14ac:dyDescent="0.35">
      <c r="A638" t="s">
        <v>686</v>
      </c>
      <c r="B638">
        <v>26</v>
      </c>
      <c r="C638" t="s">
        <v>15</v>
      </c>
      <c r="D638" t="s">
        <v>16</v>
      </c>
      <c r="E638" t="s">
        <v>35</v>
      </c>
      <c r="F638" t="s">
        <v>27</v>
      </c>
      <c r="G638" s="1">
        <v>45320</v>
      </c>
      <c r="H638" s="1">
        <v>45322</v>
      </c>
      <c r="I638" s="4">
        <v>144283</v>
      </c>
      <c r="J638" t="s">
        <v>19</v>
      </c>
      <c r="K638" t="s">
        <v>63</v>
      </c>
      <c r="L638" t="s">
        <v>43</v>
      </c>
      <c r="M638" t="s">
        <v>64</v>
      </c>
      <c r="N638">
        <v>3</v>
      </c>
      <c r="X638">
        <v>1</v>
      </c>
      <c r="AB638" t="str">
        <f t="shared" si="9"/>
        <v>Jan</v>
      </c>
    </row>
    <row r="639" spans="1:28" x14ac:dyDescent="0.35">
      <c r="A639" t="s">
        <v>687</v>
      </c>
      <c r="B639">
        <v>32</v>
      </c>
      <c r="C639" t="s">
        <v>24</v>
      </c>
      <c r="D639" t="s">
        <v>50</v>
      </c>
      <c r="E639" t="s">
        <v>26</v>
      </c>
      <c r="F639" t="s">
        <v>27</v>
      </c>
      <c r="G639" s="1">
        <v>45531</v>
      </c>
      <c r="H639" s="1">
        <v>45538</v>
      </c>
      <c r="I639" s="4">
        <v>138757</v>
      </c>
      <c r="J639" t="s">
        <v>37</v>
      </c>
      <c r="K639" t="s">
        <v>42</v>
      </c>
      <c r="L639" t="s">
        <v>43</v>
      </c>
      <c r="M639" t="s">
        <v>22</v>
      </c>
      <c r="N639">
        <v>3</v>
      </c>
      <c r="X639">
        <v>8</v>
      </c>
      <c r="AB639" t="str">
        <f t="shared" si="9"/>
        <v>Aug</v>
      </c>
    </row>
    <row r="640" spans="1:28" x14ac:dyDescent="0.35">
      <c r="A640" t="s">
        <v>688</v>
      </c>
      <c r="B640">
        <v>48</v>
      </c>
      <c r="C640" t="s">
        <v>15</v>
      </c>
      <c r="D640" t="s">
        <v>31</v>
      </c>
      <c r="E640" t="s">
        <v>32</v>
      </c>
      <c r="F640" t="s">
        <v>56</v>
      </c>
      <c r="G640" s="1">
        <v>45713</v>
      </c>
      <c r="H640" s="1">
        <v>45722</v>
      </c>
      <c r="I640" s="4">
        <v>118350</v>
      </c>
      <c r="J640" t="s">
        <v>37</v>
      </c>
      <c r="K640" t="s">
        <v>29</v>
      </c>
      <c r="L640" t="s">
        <v>48</v>
      </c>
      <c r="M640" t="s">
        <v>64</v>
      </c>
      <c r="N640">
        <v>5</v>
      </c>
      <c r="X640">
        <v>2</v>
      </c>
      <c r="AB640" t="str">
        <f t="shared" si="9"/>
        <v>Feb</v>
      </c>
    </row>
    <row r="641" spans="1:28" x14ac:dyDescent="0.35">
      <c r="A641" t="s">
        <v>689</v>
      </c>
      <c r="B641">
        <v>85</v>
      </c>
      <c r="C641" t="s">
        <v>15</v>
      </c>
      <c r="D641" t="s">
        <v>31</v>
      </c>
      <c r="E641" t="s">
        <v>35</v>
      </c>
      <c r="F641" t="s">
        <v>27</v>
      </c>
      <c r="G641" s="1">
        <v>45715</v>
      </c>
      <c r="H641" s="1">
        <v>45722</v>
      </c>
      <c r="I641" s="4">
        <v>41263</v>
      </c>
      <c r="J641" t="s">
        <v>28</v>
      </c>
      <c r="K641" t="s">
        <v>63</v>
      </c>
      <c r="L641" t="s">
        <v>21</v>
      </c>
      <c r="M641" t="s">
        <v>64</v>
      </c>
      <c r="N641">
        <v>1</v>
      </c>
      <c r="X641">
        <v>2</v>
      </c>
      <c r="AB641" t="str">
        <f t="shared" si="9"/>
        <v>Feb</v>
      </c>
    </row>
    <row r="642" spans="1:28" x14ac:dyDescent="0.35">
      <c r="A642" t="s">
        <v>690</v>
      </c>
      <c r="B642">
        <v>52</v>
      </c>
      <c r="C642" t="s">
        <v>15</v>
      </c>
      <c r="D642" t="s">
        <v>58</v>
      </c>
      <c r="E642" t="s">
        <v>26</v>
      </c>
      <c r="F642" t="s">
        <v>41</v>
      </c>
      <c r="G642" s="1">
        <v>45548</v>
      </c>
      <c r="H642" s="1">
        <v>45550</v>
      </c>
      <c r="I642" s="4">
        <v>163041</v>
      </c>
      <c r="J642" t="s">
        <v>28</v>
      </c>
      <c r="K642" t="s">
        <v>42</v>
      </c>
      <c r="L642" t="s">
        <v>48</v>
      </c>
      <c r="M642" t="s">
        <v>22</v>
      </c>
      <c r="N642">
        <v>1</v>
      </c>
      <c r="X642">
        <v>9</v>
      </c>
      <c r="AB642" t="str">
        <f t="shared" si="9"/>
        <v>Sep</v>
      </c>
    </row>
    <row r="643" spans="1:28" x14ac:dyDescent="0.35">
      <c r="A643" t="s">
        <v>691</v>
      </c>
      <c r="B643">
        <v>80</v>
      </c>
      <c r="C643" t="s">
        <v>24</v>
      </c>
      <c r="D643" t="s">
        <v>16</v>
      </c>
      <c r="E643" t="s">
        <v>26</v>
      </c>
      <c r="F643" t="s">
        <v>36</v>
      </c>
      <c r="G643" s="1">
        <v>45381</v>
      </c>
      <c r="H643" s="1">
        <v>45382</v>
      </c>
      <c r="I643" s="4">
        <v>16515</v>
      </c>
      <c r="J643" t="s">
        <v>37</v>
      </c>
      <c r="K643" t="s">
        <v>20</v>
      </c>
      <c r="L643" t="s">
        <v>46</v>
      </c>
      <c r="M643" t="s">
        <v>22</v>
      </c>
      <c r="N643">
        <v>5</v>
      </c>
      <c r="X643">
        <v>3</v>
      </c>
      <c r="AB643" t="str">
        <f t="shared" ref="AB643:AB706" si="10">TEXT(G643,"mmm")</f>
        <v>Mar</v>
      </c>
    </row>
    <row r="644" spans="1:28" x14ac:dyDescent="0.35">
      <c r="A644" t="s">
        <v>692</v>
      </c>
      <c r="B644">
        <v>56</v>
      </c>
      <c r="C644" t="s">
        <v>15</v>
      </c>
      <c r="D644" t="s">
        <v>16</v>
      </c>
      <c r="E644" t="s">
        <v>17</v>
      </c>
      <c r="F644" t="s">
        <v>36</v>
      </c>
      <c r="G644" s="1">
        <v>45490</v>
      </c>
      <c r="H644" s="1">
        <v>45497</v>
      </c>
      <c r="I644" s="4">
        <v>10364</v>
      </c>
      <c r="J644" t="s">
        <v>19</v>
      </c>
      <c r="K644" t="s">
        <v>63</v>
      </c>
      <c r="L644" t="s">
        <v>48</v>
      </c>
      <c r="M644" t="s">
        <v>64</v>
      </c>
      <c r="N644">
        <v>5</v>
      </c>
      <c r="X644">
        <v>7</v>
      </c>
      <c r="AB644" t="str">
        <f t="shared" si="10"/>
        <v>Jul</v>
      </c>
    </row>
    <row r="645" spans="1:28" x14ac:dyDescent="0.35">
      <c r="A645" t="s">
        <v>693</v>
      </c>
      <c r="B645">
        <v>46</v>
      </c>
      <c r="C645" t="s">
        <v>15</v>
      </c>
      <c r="D645" t="s">
        <v>53</v>
      </c>
      <c r="E645" t="s">
        <v>40</v>
      </c>
      <c r="F645" t="s">
        <v>18</v>
      </c>
      <c r="G645" s="1">
        <v>45415</v>
      </c>
      <c r="H645" s="1">
        <v>45433</v>
      </c>
      <c r="I645" s="4">
        <v>143451</v>
      </c>
      <c r="J645" t="s">
        <v>61</v>
      </c>
      <c r="K645" t="s">
        <v>63</v>
      </c>
      <c r="L645" t="s">
        <v>48</v>
      </c>
      <c r="M645" t="s">
        <v>22</v>
      </c>
      <c r="N645">
        <v>4</v>
      </c>
      <c r="X645">
        <v>5</v>
      </c>
      <c r="AB645" t="str">
        <f t="shared" si="10"/>
        <v>May</v>
      </c>
    </row>
    <row r="646" spans="1:28" x14ac:dyDescent="0.35">
      <c r="A646" t="s">
        <v>694</v>
      </c>
      <c r="B646">
        <v>56</v>
      </c>
      <c r="C646" t="s">
        <v>24</v>
      </c>
      <c r="D646" t="s">
        <v>53</v>
      </c>
      <c r="E646" t="s">
        <v>32</v>
      </c>
      <c r="F646" t="s">
        <v>27</v>
      </c>
      <c r="G646" s="1">
        <v>45414</v>
      </c>
      <c r="H646" s="1">
        <v>45427</v>
      </c>
      <c r="I646" s="4">
        <v>61259</v>
      </c>
      <c r="J646" t="s">
        <v>28</v>
      </c>
      <c r="K646" t="s">
        <v>20</v>
      </c>
      <c r="L646" t="s">
        <v>48</v>
      </c>
      <c r="M646" t="s">
        <v>22</v>
      </c>
      <c r="N646">
        <v>4</v>
      </c>
      <c r="X646">
        <v>5</v>
      </c>
      <c r="AB646" t="str">
        <f t="shared" si="10"/>
        <v>May</v>
      </c>
    </row>
    <row r="647" spans="1:28" x14ac:dyDescent="0.35">
      <c r="A647" t="s">
        <v>695</v>
      </c>
      <c r="B647">
        <v>65</v>
      </c>
      <c r="C647" t="s">
        <v>24</v>
      </c>
      <c r="D647" t="s">
        <v>31</v>
      </c>
      <c r="E647" t="s">
        <v>26</v>
      </c>
      <c r="F647" t="s">
        <v>41</v>
      </c>
      <c r="G647" s="1">
        <v>45585</v>
      </c>
      <c r="H647" s="1">
        <v>45587</v>
      </c>
      <c r="I647" s="4">
        <v>70794</v>
      </c>
      <c r="J647" t="s">
        <v>28</v>
      </c>
      <c r="K647" t="s">
        <v>29</v>
      </c>
      <c r="L647" t="s">
        <v>46</v>
      </c>
      <c r="M647" t="s">
        <v>38</v>
      </c>
      <c r="N647">
        <v>1</v>
      </c>
      <c r="X647">
        <v>10</v>
      </c>
      <c r="AB647" t="str">
        <f t="shared" si="10"/>
        <v>Oct</v>
      </c>
    </row>
    <row r="648" spans="1:28" x14ac:dyDescent="0.35">
      <c r="A648" t="s">
        <v>696</v>
      </c>
      <c r="B648">
        <v>77</v>
      </c>
      <c r="C648" t="s">
        <v>24</v>
      </c>
      <c r="D648" t="s">
        <v>45</v>
      </c>
      <c r="E648" t="s">
        <v>17</v>
      </c>
      <c r="F648" t="s">
        <v>18</v>
      </c>
      <c r="G648" s="1">
        <v>45578</v>
      </c>
      <c r="H648" s="1">
        <v>45585</v>
      </c>
      <c r="I648" s="4">
        <v>127527</v>
      </c>
      <c r="J648" t="s">
        <v>37</v>
      </c>
      <c r="K648" t="s">
        <v>63</v>
      </c>
      <c r="L648" t="s">
        <v>46</v>
      </c>
      <c r="M648" t="s">
        <v>22</v>
      </c>
      <c r="N648">
        <v>1</v>
      </c>
      <c r="X648">
        <v>10</v>
      </c>
      <c r="AB648" t="str">
        <f t="shared" si="10"/>
        <v>Oct</v>
      </c>
    </row>
    <row r="649" spans="1:28" x14ac:dyDescent="0.35">
      <c r="A649" t="s">
        <v>697</v>
      </c>
      <c r="B649">
        <v>63</v>
      </c>
      <c r="C649" t="s">
        <v>15</v>
      </c>
      <c r="D649" t="s">
        <v>50</v>
      </c>
      <c r="E649" t="s">
        <v>40</v>
      </c>
      <c r="F649" t="s">
        <v>41</v>
      </c>
      <c r="G649" s="1">
        <v>45489</v>
      </c>
      <c r="H649" s="1">
        <v>45491</v>
      </c>
      <c r="I649" s="4">
        <v>241408</v>
      </c>
      <c r="J649" t="s">
        <v>37</v>
      </c>
      <c r="K649" t="s">
        <v>42</v>
      </c>
      <c r="L649" t="s">
        <v>43</v>
      </c>
      <c r="M649" t="s">
        <v>22</v>
      </c>
      <c r="N649">
        <v>5</v>
      </c>
      <c r="X649">
        <v>7</v>
      </c>
      <c r="AB649" t="str">
        <f t="shared" si="10"/>
        <v>Jul</v>
      </c>
    </row>
    <row r="650" spans="1:28" x14ac:dyDescent="0.35">
      <c r="A650" t="s">
        <v>698</v>
      </c>
      <c r="B650">
        <v>72</v>
      </c>
      <c r="C650" t="s">
        <v>24</v>
      </c>
      <c r="D650" t="s">
        <v>31</v>
      </c>
      <c r="E650" t="s">
        <v>17</v>
      </c>
      <c r="F650" t="s">
        <v>18</v>
      </c>
      <c r="G650" s="1">
        <v>45327</v>
      </c>
      <c r="H650" s="1">
        <v>45340</v>
      </c>
      <c r="I650" s="4">
        <v>26109</v>
      </c>
      <c r="J650" t="s">
        <v>19</v>
      </c>
      <c r="K650" t="s">
        <v>20</v>
      </c>
      <c r="L650" t="s">
        <v>43</v>
      </c>
      <c r="M650" t="s">
        <v>22</v>
      </c>
      <c r="N650">
        <v>5</v>
      </c>
      <c r="X650">
        <v>2</v>
      </c>
      <c r="AB650" t="str">
        <f t="shared" si="10"/>
        <v>Feb</v>
      </c>
    </row>
    <row r="651" spans="1:28" x14ac:dyDescent="0.35">
      <c r="A651" t="s">
        <v>699</v>
      </c>
      <c r="B651">
        <v>57</v>
      </c>
      <c r="C651" t="s">
        <v>24</v>
      </c>
      <c r="D651" t="s">
        <v>45</v>
      </c>
      <c r="E651" t="s">
        <v>26</v>
      </c>
      <c r="F651" t="s">
        <v>36</v>
      </c>
      <c r="G651" s="1">
        <v>45311</v>
      </c>
      <c r="H651" s="1">
        <v>45318</v>
      </c>
      <c r="I651" s="4">
        <v>110051</v>
      </c>
      <c r="J651" t="s">
        <v>28</v>
      </c>
      <c r="K651" t="s">
        <v>42</v>
      </c>
      <c r="L651" t="s">
        <v>33</v>
      </c>
      <c r="M651" t="s">
        <v>64</v>
      </c>
      <c r="N651">
        <v>3</v>
      </c>
      <c r="X651">
        <v>1</v>
      </c>
      <c r="AB651" t="str">
        <f t="shared" si="10"/>
        <v>Jan</v>
      </c>
    </row>
    <row r="652" spans="1:28" x14ac:dyDescent="0.35">
      <c r="A652" t="s">
        <v>700</v>
      </c>
      <c r="B652">
        <v>42</v>
      </c>
      <c r="C652" t="s">
        <v>24</v>
      </c>
      <c r="D652" t="s">
        <v>31</v>
      </c>
      <c r="E652" t="s">
        <v>32</v>
      </c>
      <c r="F652" t="s">
        <v>56</v>
      </c>
      <c r="G652" s="1">
        <v>45970</v>
      </c>
      <c r="H652" s="1">
        <v>45986</v>
      </c>
      <c r="I652" s="4">
        <v>83137</v>
      </c>
      <c r="J652" t="s">
        <v>61</v>
      </c>
      <c r="K652" t="s">
        <v>20</v>
      </c>
      <c r="L652" t="s">
        <v>33</v>
      </c>
      <c r="M652" t="s">
        <v>38</v>
      </c>
      <c r="N652">
        <v>5</v>
      </c>
      <c r="X652">
        <v>11</v>
      </c>
      <c r="AB652" t="str">
        <f t="shared" si="10"/>
        <v>Nov</v>
      </c>
    </row>
    <row r="653" spans="1:28" x14ac:dyDescent="0.35">
      <c r="A653" t="s">
        <v>701</v>
      </c>
      <c r="B653">
        <v>61</v>
      </c>
      <c r="C653" t="s">
        <v>24</v>
      </c>
      <c r="D653" t="s">
        <v>50</v>
      </c>
      <c r="E653" t="s">
        <v>17</v>
      </c>
      <c r="F653" t="s">
        <v>56</v>
      </c>
      <c r="G653" s="1">
        <v>45292</v>
      </c>
      <c r="H653" s="1">
        <v>45303</v>
      </c>
      <c r="I653" s="4">
        <v>118570</v>
      </c>
      <c r="J653" t="s">
        <v>28</v>
      </c>
      <c r="K653" t="s">
        <v>29</v>
      </c>
      <c r="L653" t="s">
        <v>21</v>
      </c>
      <c r="M653" t="s">
        <v>22</v>
      </c>
      <c r="N653">
        <v>4</v>
      </c>
      <c r="X653">
        <v>1</v>
      </c>
      <c r="AB653" t="str">
        <f t="shared" si="10"/>
        <v>Jan</v>
      </c>
    </row>
    <row r="654" spans="1:28" x14ac:dyDescent="0.35">
      <c r="A654" t="s">
        <v>702</v>
      </c>
      <c r="B654">
        <v>74</v>
      </c>
      <c r="C654" t="s">
        <v>24</v>
      </c>
      <c r="D654" t="s">
        <v>58</v>
      </c>
      <c r="E654" t="s">
        <v>26</v>
      </c>
      <c r="F654" t="s">
        <v>18</v>
      </c>
      <c r="G654" s="1">
        <v>45683</v>
      </c>
      <c r="H654" s="1">
        <v>45686</v>
      </c>
      <c r="I654" s="4">
        <v>21486</v>
      </c>
      <c r="J654" t="s">
        <v>28</v>
      </c>
      <c r="K654" t="s">
        <v>63</v>
      </c>
      <c r="L654" t="s">
        <v>46</v>
      </c>
      <c r="M654" t="s">
        <v>22</v>
      </c>
      <c r="N654">
        <v>1</v>
      </c>
      <c r="X654">
        <v>1</v>
      </c>
      <c r="AB654" t="str">
        <f t="shared" si="10"/>
        <v>Jan</v>
      </c>
    </row>
    <row r="655" spans="1:28" x14ac:dyDescent="0.35">
      <c r="A655" t="s">
        <v>703</v>
      </c>
      <c r="B655">
        <v>28</v>
      </c>
      <c r="C655" t="s">
        <v>24</v>
      </c>
      <c r="D655" t="s">
        <v>53</v>
      </c>
      <c r="E655" t="s">
        <v>26</v>
      </c>
      <c r="F655" t="s">
        <v>36</v>
      </c>
      <c r="G655" s="1">
        <v>45771</v>
      </c>
      <c r="H655" s="1">
        <v>45788</v>
      </c>
      <c r="I655" s="4">
        <v>60842</v>
      </c>
      <c r="J655" t="s">
        <v>61</v>
      </c>
      <c r="K655" t="s">
        <v>20</v>
      </c>
      <c r="L655" t="s">
        <v>21</v>
      </c>
      <c r="M655" t="s">
        <v>22</v>
      </c>
      <c r="N655">
        <v>5</v>
      </c>
      <c r="X655">
        <v>4</v>
      </c>
      <c r="AB655" t="str">
        <f t="shared" si="10"/>
        <v>Apr</v>
      </c>
    </row>
    <row r="656" spans="1:28" x14ac:dyDescent="0.35">
      <c r="A656" t="s">
        <v>704</v>
      </c>
      <c r="B656">
        <v>75</v>
      </c>
      <c r="C656" t="s">
        <v>15</v>
      </c>
      <c r="D656" t="s">
        <v>53</v>
      </c>
      <c r="E656" t="s">
        <v>32</v>
      </c>
      <c r="F656" t="s">
        <v>27</v>
      </c>
      <c r="G656" s="1">
        <v>45450</v>
      </c>
      <c r="H656" s="1">
        <v>45465</v>
      </c>
      <c r="I656" s="4">
        <v>22910</v>
      </c>
      <c r="J656" t="s">
        <v>19</v>
      </c>
      <c r="K656" t="s">
        <v>42</v>
      </c>
      <c r="L656" t="s">
        <v>43</v>
      </c>
      <c r="M656" t="s">
        <v>38</v>
      </c>
      <c r="N656">
        <v>1</v>
      </c>
      <c r="X656">
        <v>6</v>
      </c>
      <c r="AB656" t="str">
        <f t="shared" si="10"/>
        <v>Jun</v>
      </c>
    </row>
    <row r="657" spans="1:28" x14ac:dyDescent="0.35">
      <c r="A657" t="s">
        <v>705</v>
      </c>
      <c r="B657">
        <v>50</v>
      </c>
      <c r="C657" t="s">
        <v>24</v>
      </c>
      <c r="D657" t="s">
        <v>58</v>
      </c>
      <c r="E657" t="s">
        <v>51</v>
      </c>
      <c r="F657" t="s">
        <v>27</v>
      </c>
      <c r="G657" s="1">
        <v>45911</v>
      </c>
      <c r="H657" s="1">
        <v>45927</v>
      </c>
      <c r="I657" s="4">
        <v>60286</v>
      </c>
      <c r="J657" t="s">
        <v>19</v>
      </c>
      <c r="K657" t="s">
        <v>42</v>
      </c>
      <c r="L657" t="s">
        <v>21</v>
      </c>
      <c r="M657" t="s">
        <v>38</v>
      </c>
      <c r="N657">
        <v>1</v>
      </c>
      <c r="X657">
        <v>9</v>
      </c>
      <c r="AB657" t="str">
        <f t="shared" si="10"/>
        <v>Sep</v>
      </c>
    </row>
    <row r="658" spans="1:28" x14ac:dyDescent="0.35">
      <c r="A658" t="s">
        <v>706</v>
      </c>
      <c r="B658">
        <v>76</v>
      </c>
      <c r="C658" t="s">
        <v>24</v>
      </c>
      <c r="D658" t="s">
        <v>16</v>
      </c>
      <c r="E658" t="s">
        <v>26</v>
      </c>
      <c r="F658" t="s">
        <v>18</v>
      </c>
      <c r="G658" s="1">
        <v>45785</v>
      </c>
      <c r="H658" s="1">
        <v>45796</v>
      </c>
      <c r="I658" s="4">
        <v>90924</v>
      </c>
      <c r="J658" t="s">
        <v>28</v>
      </c>
      <c r="K658" t="s">
        <v>63</v>
      </c>
      <c r="L658" t="s">
        <v>43</v>
      </c>
      <c r="M658" t="s">
        <v>38</v>
      </c>
      <c r="N658">
        <v>5</v>
      </c>
      <c r="X658">
        <v>5</v>
      </c>
      <c r="AB658" t="str">
        <f t="shared" si="10"/>
        <v>May</v>
      </c>
    </row>
    <row r="659" spans="1:28" x14ac:dyDescent="0.35">
      <c r="A659" t="s">
        <v>707</v>
      </c>
      <c r="B659">
        <v>29</v>
      </c>
      <c r="C659" t="s">
        <v>15</v>
      </c>
      <c r="D659" t="s">
        <v>53</v>
      </c>
      <c r="E659" t="s">
        <v>35</v>
      </c>
      <c r="F659" t="s">
        <v>36</v>
      </c>
      <c r="G659" s="1">
        <v>45998</v>
      </c>
      <c r="H659" s="1">
        <v>46015</v>
      </c>
      <c r="I659" s="4">
        <v>24820</v>
      </c>
      <c r="J659" t="s">
        <v>37</v>
      </c>
      <c r="K659" t="s">
        <v>29</v>
      </c>
      <c r="L659" t="s">
        <v>46</v>
      </c>
      <c r="M659" t="s">
        <v>22</v>
      </c>
      <c r="N659">
        <v>2</v>
      </c>
      <c r="X659">
        <v>12</v>
      </c>
      <c r="AB659" t="str">
        <f t="shared" si="10"/>
        <v>Dec</v>
      </c>
    </row>
    <row r="660" spans="1:28" x14ac:dyDescent="0.35">
      <c r="A660" t="s">
        <v>708</v>
      </c>
      <c r="B660">
        <v>77</v>
      </c>
      <c r="C660" t="s">
        <v>24</v>
      </c>
      <c r="D660" t="s">
        <v>25</v>
      </c>
      <c r="E660" t="s">
        <v>17</v>
      </c>
      <c r="F660" t="s">
        <v>56</v>
      </c>
      <c r="G660" s="1">
        <v>45795</v>
      </c>
      <c r="H660" s="1">
        <v>45810</v>
      </c>
      <c r="I660" s="4">
        <v>6671</v>
      </c>
      <c r="J660" t="s">
        <v>19</v>
      </c>
      <c r="K660" t="s">
        <v>20</v>
      </c>
      <c r="L660" t="s">
        <v>21</v>
      </c>
      <c r="M660" t="s">
        <v>64</v>
      </c>
      <c r="N660">
        <v>2</v>
      </c>
      <c r="X660">
        <v>5</v>
      </c>
      <c r="AB660" t="str">
        <f t="shared" si="10"/>
        <v>May</v>
      </c>
    </row>
    <row r="661" spans="1:28" x14ac:dyDescent="0.35">
      <c r="A661" t="s">
        <v>709</v>
      </c>
      <c r="B661">
        <v>72</v>
      </c>
      <c r="C661" t="s">
        <v>24</v>
      </c>
      <c r="D661" t="s">
        <v>25</v>
      </c>
      <c r="E661" t="s">
        <v>32</v>
      </c>
      <c r="F661" t="s">
        <v>56</v>
      </c>
      <c r="G661" s="1">
        <v>45627</v>
      </c>
      <c r="H661" s="1">
        <v>45639</v>
      </c>
      <c r="I661" s="4">
        <v>71616</v>
      </c>
      <c r="J661" t="s">
        <v>28</v>
      </c>
      <c r="K661" t="s">
        <v>63</v>
      </c>
      <c r="L661" t="s">
        <v>33</v>
      </c>
      <c r="M661" t="s">
        <v>38</v>
      </c>
      <c r="N661">
        <v>2</v>
      </c>
      <c r="X661">
        <v>12</v>
      </c>
      <c r="AB661" t="str">
        <f t="shared" si="10"/>
        <v>Dec</v>
      </c>
    </row>
    <row r="662" spans="1:28" x14ac:dyDescent="0.35">
      <c r="A662" t="s">
        <v>710</v>
      </c>
      <c r="B662">
        <v>53</v>
      </c>
      <c r="C662" t="s">
        <v>15</v>
      </c>
      <c r="D662" t="s">
        <v>58</v>
      </c>
      <c r="E662" t="s">
        <v>17</v>
      </c>
      <c r="F662" t="s">
        <v>36</v>
      </c>
      <c r="G662" s="1">
        <v>45456</v>
      </c>
      <c r="H662" s="1">
        <v>45459</v>
      </c>
      <c r="I662" s="4">
        <v>245692</v>
      </c>
      <c r="J662" t="s">
        <v>61</v>
      </c>
      <c r="K662" t="s">
        <v>63</v>
      </c>
      <c r="L662" t="s">
        <v>43</v>
      </c>
      <c r="M662" t="s">
        <v>64</v>
      </c>
      <c r="N662">
        <v>3</v>
      </c>
      <c r="X662">
        <v>6</v>
      </c>
      <c r="AB662" t="str">
        <f t="shared" si="10"/>
        <v>Jun</v>
      </c>
    </row>
    <row r="663" spans="1:28" x14ac:dyDescent="0.35">
      <c r="A663" t="s">
        <v>711</v>
      </c>
      <c r="B663">
        <v>61</v>
      </c>
      <c r="C663" t="s">
        <v>24</v>
      </c>
      <c r="D663" t="s">
        <v>58</v>
      </c>
      <c r="E663" t="s">
        <v>26</v>
      </c>
      <c r="F663" t="s">
        <v>18</v>
      </c>
      <c r="G663" s="1">
        <v>45383</v>
      </c>
      <c r="H663" s="1">
        <v>45389</v>
      </c>
      <c r="I663" s="4">
        <v>200814</v>
      </c>
      <c r="J663" t="s">
        <v>19</v>
      </c>
      <c r="K663" t="s">
        <v>20</v>
      </c>
      <c r="L663" t="s">
        <v>33</v>
      </c>
      <c r="M663" t="s">
        <v>38</v>
      </c>
      <c r="N663">
        <v>4</v>
      </c>
      <c r="X663">
        <v>4</v>
      </c>
      <c r="AB663" t="str">
        <f t="shared" si="10"/>
        <v>Apr</v>
      </c>
    </row>
    <row r="664" spans="1:28" x14ac:dyDescent="0.35">
      <c r="A664" t="s">
        <v>712</v>
      </c>
      <c r="B664">
        <v>24</v>
      </c>
      <c r="C664" t="s">
        <v>15</v>
      </c>
      <c r="D664" t="s">
        <v>16</v>
      </c>
      <c r="E664" t="s">
        <v>35</v>
      </c>
      <c r="F664" t="s">
        <v>41</v>
      </c>
      <c r="G664" s="1">
        <v>45928</v>
      </c>
      <c r="H664" s="1">
        <v>45933</v>
      </c>
      <c r="I664" s="4">
        <v>233216</v>
      </c>
      <c r="J664" t="s">
        <v>37</v>
      </c>
      <c r="K664" t="s">
        <v>42</v>
      </c>
      <c r="L664" t="s">
        <v>48</v>
      </c>
      <c r="M664" t="s">
        <v>22</v>
      </c>
      <c r="N664">
        <v>2</v>
      </c>
      <c r="X664">
        <v>9</v>
      </c>
      <c r="AB664" t="str">
        <f t="shared" si="10"/>
        <v>Sep</v>
      </c>
    </row>
    <row r="665" spans="1:28" x14ac:dyDescent="0.35">
      <c r="A665" t="s">
        <v>713</v>
      </c>
      <c r="B665">
        <v>49</v>
      </c>
      <c r="C665" t="s">
        <v>15</v>
      </c>
      <c r="D665" t="s">
        <v>25</v>
      </c>
      <c r="E665" t="s">
        <v>17</v>
      </c>
      <c r="F665" t="s">
        <v>41</v>
      </c>
      <c r="G665" s="1">
        <v>45692</v>
      </c>
      <c r="H665" s="1">
        <v>45696</v>
      </c>
      <c r="I665" s="4">
        <v>105420</v>
      </c>
      <c r="J665" t="s">
        <v>61</v>
      </c>
      <c r="K665" t="s">
        <v>29</v>
      </c>
      <c r="L665" t="s">
        <v>33</v>
      </c>
      <c r="M665" t="s">
        <v>64</v>
      </c>
      <c r="N665">
        <v>3</v>
      </c>
      <c r="X665">
        <v>2</v>
      </c>
      <c r="AB665" t="str">
        <f t="shared" si="10"/>
        <v>Feb</v>
      </c>
    </row>
    <row r="666" spans="1:28" x14ac:dyDescent="0.35">
      <c r="A666" t="s">
        <v>714</v>
      </c>
      <c r="B666">
        <v>79</v>
      </c>
      <c r="C666" t="s">
        <v>15</v>
      </c>
      <c r="D666" t="s">
        <v>53</v>
      </c>
      <c r="E666" t="s">
        <v>35</v>
      </c>
      <c r="F666" t="s">
        <v>27</v>
      </c>
      <c r="G666" s="1">
        <v>45416</v>
      </c>
      <c r="H666" s="1">
        <v>45418</v>
      </c>
      <c r="I666" s="4">
        <v>159748</v>
      </c>
      <c r="J666" t="s">
        <v>61</v>
      </c>
      <c r="K666" t="s">
        <v>63</v>
      </c>
      <c r="L666" t="s">
        <v>21</v>
      </c>
      <c r="M666" t="s">
        <v>38</v>
      </c>
      <c r="N666">
        <v>2</v>
      </c>
      <c r="X666">
        <v>5</v>
      </c>
      <c r="AB666" t="str">
        <f t="shared" si="10"/>
        <v>May</v>
      </c>
    </row>
    <row r="667" spans="1:28" x14ac:dyDescent="0.35">
      <c r="A667" t="s">
        <v>715</v>
      </c>
      <c r="B667">
        <v>36</v>
      </c>
      <c r="C667" t="s">
        <v>24</v>
      </c>
      <c r="D667" t="s">
        <v>31</v>
      </c>
      <c r="E667" t="s">
        <v>26</v>
      </c>
      <c r="F667" t="s">
        <v>36</v>
      </c>
      <c r="G667" s="1">
        <v>45865</v>
      </c>
      <c r="H667" s="1">
        <v>45866</v>
      </c>
      <c r="I667" s="4">
        <v>139608</v>
      </c>
      <c r="J667" t="s">
        <v>61</v>
      </c>
      <c r="K667" t="s">
        <v>20</v>
      </c>
      <c r="L667" t="s">
        <v>43</v>
      </c>
      <c r="M667" t="s">
        <v>38</v>
      </c>
      <c r="N667">
        <v>5</v>
      </c>
      <c r="X667">
        <v>7</v>
      </c>
      <c r="AB667" t="str">
        <f t="shared" si="10"/>
        <v>Jul</v>
      </c>
    </row>
    <row r="668" spans="1:28" x14ac:dyDescent="0.35">
      <c r="A668" t="s">
        <v>716</v>
      </c>
      <c r="B668">
        <v>76</v>
      </c>
      <c r="C668" t="s">
        <v>15</v>
      </c>
      <c r="D668" t="s">
        <v>53</v>
      </c>
      <c r="E668" t="s">
        <v>17</v>
      </c>
      <c r="F668" t="s">
        <v>18</v>
      </c>
      <c r="G668" s="1">
        <v>45633</v>
      </c>
      <c r="H668" s="1">
        <v>45634</v>
      </c>
      <c r="I668" s="4">
        <v>170849</v>
      </c>
      <c r="J668" t="s">
        <v>61</v>
      </c>
      <c r="K668" t="s">
        <v>63</v>
      </c>
      <c r="L668" t="s">
        <v>21</v>
      </c>
      <c r="M668" t="s">
        <v>22</v>
      </c>
      <c r="N668">
        <v>3</v>
      </c>
      <c r="X668">
        <v>12</v>
      </c>
      <c r="AB668" t="str">
        <f t="shared" si="10"/>
        <v>Dec</v>
      </c>
    </row>
    <row r="669" spans="1:28" x14ac:dyDescent="0.35">
      <c r="A669" t="s">
        <v>717</v>
      </c>
      <c r="B669">
        <v>55</v>
      </c>
      <c r="C669" t="s">
        <v>24</v>
      </c>
      <c r="D669" t="s">
        <v>25</v>
      </c>
      <c r="E669" t="s">
        <v>32</v>
      </c>
      <c r="F669" t="s">
        <v>18</v>
      </c>
      <c r="G669" s="1">
        <v>45337</v>
      </c>
      <c r="H669" s="1">
        <v>45352</v>
      </c>
      <c r="I669" s="4">
        <v>34105</v>
      </c>
      <c r="J669" t="s">
        <v>37</v>
      </c>
      <c r="K669" t="s">
        <v>63</v>
      </c>
      <c r="L669" t="s">
        <v>33</v>
      </c>
      <c r="M669" t="s">
        <v>64</v>
      </c>
      <c r="N669">
        <v>1</v>
      </c>
      <c r="X669">
        <v>2</v>
      </c>
      <c r="AB669" t="str">
        <f t="shared" si="10"/>
        <v>Feb</v>
      </c>
    </row>
    <row r="670" spans="1:28" x14ac:dyDescent="0.35">
      <c r="A670" t="s">
        <v>718</v>
      </c>
      <c r="B670">
        <v>58</v>
      </c>
      <c r="C670" t="s">
        <v>24</v>
      </c>
      <c r="D670" t="s">
        <v>53</v>
      </c>
      <c r="E670" t="s">
        <v>17</v>
      </c>
      <c r="F670" t="s">
        <v>18</v>
      </c>
      <c r="G670" s="1">
        <v>45524</v>
      </c>
      <c r="H670" s="1">
        <v>45540</v>
      </c>
      <c r="I670" s="4">
        <v>52795</v>
      </c>
      <c r="J670" t="s">
        <v>19</v>
      </c>
      <c r="K670" t="s">
        <v>42</v>
      </c>
      <c r="L670" t="s">
        <v>48</v>
      </c>
      <c r="M670" t="s">
        <v>38</v>
      </c>
      <c r="N670">
        <v>4</v>
      </c>
      <c r="X670">
        <v>8</v>
      </c>
      <c r="AB670" t="str">
        <f t="shared" si="10"/>
        <v>Aug</v>
      </c>
    </row>
    <row r="671" spans="1:28" x14ac:dyDescent="0.35">
      <c r="A671" t="s">
        <v>719</v>
      </c>
      <c r="B671">
        <v>45</v>
      </c>
      <c r="C671" t="s">
        <v>24</v>
      </c>
      <c r="D671" t="s">
        <v>45</v>
      </c>
      <c r="E671" t="s">
        <v>51</v>
      </c>
      <c r="F671" t="s">
        <v>56</v>
      </c>
      <c r="G671" s="1">
        <v>45405</v>
      </c>
      <c r="H671" s="1">
        <v>45410</v>
      </c>
      <c r="I671" s="4">
        <v>70631</v>
      </c>
      <c r="J671" t="s">
        <v>28</v>
      </c>
      <c r="K671" t="s">
        <v>63</v>
      </c>
      <c r="L671" t="s">
        <v>46</v>
      </c>
      <c r="M671" t="s">
        <v>38</v>
      </c>
      <c r="N671">
        <v>4</v>
      </c>
      <c r="X671">
        <v>4</v>
      </c>
      <c r="AB671" t="str">
        <f t="shared" si="10"/>
        <v>Apr</v>
      </c>
    </row>
    <row r="672" spans="1:28" x14ac:dyDescent="0.35">
      <c r="A672" t="s">
        <v>720</v>
      </c>
      <c r="B672">
        <v>78</v>
      </c>
      <c r="C672" t="s">
        <v>15</v>
      </c>
      <c r="D672" t="s">
        <v>25</v>
      </c>
      <c r="E672" t="s">
        <v>17</v>
      </c>
      <c r="F672" t="s">
        <v>41</v>
      </c>
      <c r="G672" s="1">
        <v>45825</v>
      </c>
      <c r="H672" s="1">
        <v>45831</v>
      </c>
      <c r="I672" s="4">
        <v>154087</v>
      </c>
      <c r="J672" t="s">
        <v>37</v>
      </c>
      <c r="K672" t="s">
        <v>20</v>
      </c>
      <c r="L672" t="s">
        <v>46</v>
      </c>
      <c r="M672" t="s">
        <v>64</v>
      </c>
      <c r="N672">
        <v>5</v>
      </c>
      <c r="X672">
        <v>6</v>
      </c>
      <c r="AB672" t="str">
        <f t="shared" si="10"/>
        <v>Jun</v>
      </c>
    </row>
    <row r="673" spans="1:28" x14ac:dyDescent="0.35">
      <c r="A673" t="s">
        <v>721</v>
      </c>
      <c r="B673">
        <v>73</v>
      </c>
      <c r="C673" t="s">
        <v>24</v>
      </c>
      <c r="D673" t="s">
        <v>53</v>
      </c>
      <c r="E673" t="s">
        <v>51</v>
      </c>
      <c r="F673" t="s">
        <v>27</v>
      </c>
      <c r="G673" s="1">
        <v>45673</v>
      </c>
      <c r="H673" s="1">
        <v>45680</v>
      </c>
      <c r="I673" s="4">
        <v>10309</v>
      </c>
      <c r="J673" t="s">
        <v>61</v>
      </c>
      <c r="K673" t="s">
        <v>63</v>
      </c>
      <c r="L673" t="s">
        <v>48</v>
      </c>
      <c r="M673" t="s">
        <v>64</v>
      </c>
      <c r="N673">
        <v>3</v>
      </c>
      <c r="X673">
        <v>1</v>
      </c>
      <c r="AB673" t="str">
        <f t="shared" si="10"/>
        <v>Jan</v>
      </c>
    </row>
    <row r="674" spans="1:28" x14ac:dyDescent="0.35">
      <c r="A674" t="s">
        <v>722</v>
      </c>
      <c r="B674">
        <v>55</v>
      </c>
      <c r="C674" t="s">
        <v>15</v>
      </c>
      <c r="D674" t="s">
        <v>16</v>
      </c>
      <c r="E674" t="s">
        <v>35</v>
      </c>
      <c r="F674" t="s">
        <v>18</v>
      </c>
      <c r="G674" s="1">
        <v>45340</v>
      </c>
      <c r="H674" s="1">
        <v>45357</v>
      </c>
      <c r="I674" s="4">
        <v>126061</v>
      </c>
      <c r="J674" t="s">
        <v>61</v>
      </c>
      <c r="K674" t="s">
        <v>42</v>
      </c>
      <c r="L674" t="s">
        <v>21</v>
      </c>
      <c r="M674" t="s">
        <v>64</v>
      </c>
      <c r="N674">
        <v>3</v>
      </c>
      <c r="X674">
        <v>2</v>
      </c>
      <c r="AB674" t="str">
        <f t="shared" si="10"/>
        <v>Feb</v>
      </c>
    </row>
    <row r="675" spans="1:28" x14ac:dyDescent="0.35">
      <c r="A675" t="s">
        <v>723</v>
      </c>
      <c r="B675">
        <v>34</v>
      </c>
      <c r="C675" t="s">
        <v>24</v>
      </c>
      <c r="D675" t="s">
        <v>31</v>
      </c>
      <c r="E675" t="s">
        <v>32</v>
      </c>
      <c r="F675" t="s">
        <v>56</v>
      </c>
      <c r="G675" s="1">
        <v>45394</v>
      </c>
      <c r="H675" s="1">
        <v>45410</v>
      </c>
      <c r="I675" s="4">
        <v>52056</v>
      </c>
      <c r="J675" t="s">
        <v>19</v>
      </c>
      <c r="K675" t="s">
        <v>20</v>
      </c>
      <c r="L675" t="s">
        <v>48</v>
      </c>
      <c r="M675" t="s">
        <v>22</v>
      </c>
      <c r="N675">
        <v>3</v>
      </c>
      <c r="X675">
        <v>4</v>
      </c>
      <c r="AB675" t="str">
        <f t="shared" si="10"/>
        <v>Apr</v>
      </c>
    </row>
    <row r="676" spans="1:28" x14ac:dyDescent="0.35">
      <c r="A676" t="s">
        <v>724</v>
      </c>
      <c r="B676">
        <v>67</v>
      </c>
      <c r="C676" t="s">
        <v>24</v>
      </c>
      <c r="D676" t="s">
        <v>58</v>
      </c>
      <c r="E676" t="s">
        <v>35</v>
      </c>
      <c r="F676" t="s">
        <v>41</v>
      </c>
      <c r="G676" s="1">
        <v>45686</v>
      </c>
      <c r="H676" s="1">
        <v>45689</v>
      </c>
      <c r="I676" s="4">
        <v>103180</v>
      </c>
      <c r="J676" t="s">
        <v>19</v>
      </c>
      <c r="K676" t="s">
        <v>63</v>
      </c>
      <c r="L676" t="s">
        <v>48</v>
      </c>
      <c r="M676" t="s">
        <v>38</v>
      </c>
      <c r="N676">
        <v>5</v>
      </c>
      <c r="X676">
        <v>1</v>
      </c>
      <c r="AB676" t="str">
        <f t="shared" si="10"/>
        <v>Jan</v>
      </c>
    </row>
    <row r="677" spans="1:28" x14ac:dyDescent="0.35">
      <c r="A677" t="s">
        <v>725</v>
      </c>
      <c r="B677">
        <v>54</v>
      </c>
      <c r="C677" t="s">
        <v>15</v>
      </c>
      <c r="D677" t="s">
        <v>50</v>
      </c>
      <c r="E677" t="s">
        <v>51</v>
      </c>
      <c r="F677" t="s">
        <v>41</v>
      </c>
      <c r="G677" s="1">
        <v>45457</v>
      </c>
      <c r="H677" s="1">
        <v>45473</v>
      </c>
      <c r="I677" s="4">
        <v>89837</v>
      </c>
      <c r="J677" t="s">
        <v>37</v>
      </c>
      <c r="K677" t="s">
        <v>20</v>
      </c>
      <c r="L677" t="s">
        <v>21</v>
      </c>
      <c r="M677" t="s">
        <v>38</v>
      </c>
      <c r="N677">
        <v>1</v>
      </c>
      <c r="X677">
        <v>6</v>
      </c>
      <c r="AB677" t="str">
        <f t="shared" si="10"/>
        <v>Jun</v>
      </c>
    </row>
    <row r="678" spans="1:28" x14ac:dyDescent="0.35">
      <c r="A678" t="s">
        <v>726</v>
      </c>
      <c r="B678">
        <v>60</v>
      </c>
      <c r="C678" t="s">
        <v>24</v>
      </c>
      <c r="D678" t="s">
        <v>31</v>
      </c>
      <c r="E678" t="s">
        <v>35</v>
      </c>
      <c r="F678" t="s">
        <v>41</v>
      </c>
      <c r="G678" s="1">
        <v>45594</v>
      </c>
      <c r="H678" s="1">
        <v>45603</v>
      </c>
      <c r="I678" s="4">
        <v>40591</v>
      </c>
      <c r="J678" t="s">
        <v>19</v>
      </c>
      <c r="K678" t="s">
        <v>63</v>
      </c>
      <c r="L678" t="s">
        <v>21</v>
      </c>
      <c r="M678" t="s">
        <v>22</v>
      </c>
      <c r="N678">
        <v>4</v>
      </c>
      <c r="X678">
        <v>10</v>
      </c>
      <c r="AB678" t="str">
        <f t="shared" si="10"/>
        <v>Oct</v>
      </c>
    </row>
    <row r="679" spans="1:28" x14ac:dyDescent="0.35">
      <c r="A679" t="s">
        <v>727</v>
      </c>
      <c r="B679">
        <v>32</v>
      </c>
      <c r="C679" t="s">
        <v>24</v>
      </c>
      <c r="D679" t="s">
        <v>25</v>
      </c>
      <c r="E679" t="s">
        <v>35</v>
      </c>
      <c r="F679" t="s">
        <v>41</v>
      </c>
      <c r="G679" s="1">
        <v>45425</v>
      </c>
      <c r="H679" s="1">
        <v>45427</v>
      </c>
      <c r="I679" s="4">
        <v>50782</v>
      </c>
      <c r="J679" t="s">
        <v>37</v>
      </c>
      <c r="K679" t="s">
        <v>63</v>
      </c>
      <c r="L679" t="s">
        <v>46</v>
      </c>
      <c r="M679" t="s">
        <v>22</v>
      </c>
      <c r="N679">
        <v>5</v>
      </c>
      <c r="X679">
        <v>5</v>
      </c>
      <c r="AB679" t="str">
        <f t="shared" si="10"/>
        <v>May</v>
      </c>
    </row>
    <row r="680" spans="1:28" x14ac:dyDescent="0.35">
      <c r="A680" t="s">
        <v>728</v>
      </c>
      <c r="B680">
        <v>25</v>
      </c>
      <c r="C680" t="s">
        <v>15</v>
      </c>
      <c r="D680" t="s">
        <v>16</v>
      </c>
      <c r="E680" t="s">
        <v>51</v>
      </c>
      <c r="F680" t="s">
        <v>18</v>
      </c>
      <c r="G680" s="1">
        <v>45347</v>
      </c>
      <c r="H680" s="1">
        <v>45362</v>
      </c>
      <c r="I680" s="4">
        <v>137973</v>
      </c>
      <c r="J680" t="s">
        <v>61</v>
      </c>
      <c r="K680" t="s">
        <v>63</v>
      </c>
      <c r="L680" t="s">
        <v>21</v>
      </c>
      <c r="M680" t="s">
        <v>64</v>
      </c>
      <c r="N680">
        <v>4</v>
      </c>
      <c r="X680">
        <v>2</v>
      </c>
      <c r="AB680" t="str">
        <f t="shared" si="10"/>
        <v>Feb</v>
      </c>
    </row>
    <row r="681" spans="1:28" x14ac:dyDescent="0.35">
      <c r="A681" t="s">
        <v>729</v>
      </c>
      <c r="B681">
        <v>61</v>
      </c>
      <c r="C681" t="s">
        <v>15</v>
      </c>
      <c r="D681" t="s">
        <v>25</v>
      </c>
      <c r="E681" t="s">
        <v>17</v>
      </c>
      <c r="F681" t="s">
        <v>36</v>
      </c>
      <c r="G681" s="1">
        <v>45507</v>
      </c>
      <c r="H681" s="1">
        <v>45514</v>
      </c>
      <c r="I681" s="4">
        <v>192062</v>
      </c>
      <c r="J681" t="s">
        <v>37</v>
      </c>
      <c r="K681" t="s">
        <v>42</v>
      </c>
      <c r="L681" t="s">
        <v>46</v>
      </c>
      <c r="M681" t="s">
        <v>38</v>
      </c>
      <c r="N681">
        <v>4</v>
      </c>
      <c r="X681">
        <v>8</v>
      </c>
      <c r="AB681" t="str">
        <f t="shared" si="10"/>
        <v>Aug</v>
      </c>
    </row>
    <row r="682" spans="1:28" x14ac:dyDescent="0.35">
      <c r="A682" t="s">
        <v>730</v>
      </c>
      <c r="B682">
        <v>44</v>
      </c>
      <c r="C682" t="s">
        <v>24</v>
      </c>
      <c r="D682" t="s">
        <v>45</v>
      </c>
      <c r="E682" t="s">
        <v>35</v>
      </c>
      <c r="F682" t="s">
        <v>18</v>
      </c>
      <c r="G682" s="1">
        <v>45432</v>
      </c>
      <c r="H682" s="1">
        <v>45450</v>
      </c>
      <c r="I682" s="4">
        <v>53161</v>
      </c>
      <c r="J682" t="s">
        <v>28</v>
      </c>
      <c r="K682" t="s">
        <v>63</v>
      </c>
      <c r="L682" t="s">
        <v>33</v>
      </c>
      <c r="M682" t="s">
        <v>22</v>
      </c>
      <c r="N682">
        <v>3</v>
      </c>
      <c r="X682">
        <v>5</v>
      </c>
      <c r="AB682" t="str">
        <f t="shared" si="10"/>
        <v>May</v>
      </c>
    </row>
    <row r="683" spans="1:28" x14ac:dyDescent="0.35">
      <c r="A683" t="s">
        <v>731</v>
      </c>
      <c r="B683">
        <v>83</v>
      </c>
      <c r="C683" t="s">
        <v>15</v>
      </c>
      <c r="D683" t="s">
        <v>25</v>
      </c>
      <c r="E683" t="s">
        <v>40</v>
      </c>
      <c r="F683" t="s">
        <v>27</v>
      </c>
      <c r="G683" s="1">
        <v>46001</v>
      </c>
      <c r="H683" s="1">
        <v>46017</v>
      </c>
      <c r="I683" s="4">
        <v>208628</v>
      </c>
      <c r="J683" t="s">
        <v>37</v>
      </c>
      <c r="K683" t="s">
        <v>29</v>
      </c>
      <c r="L683" t="s">
        <v>43</v>
      </c>
      <c r="M683" t="s">
        <v>22</v>
      </c>
      <c r="N683">
        <v>3</v>
      </c>
      <c r="X683">
        <v>12</v>
      </c>
      <c r="AB683" t="str">
        <f t="shared" si="10"/>
        <v>Dec</v>
      </c>
    </row>
    <row r="684" spans="1:28" x14ac:dyDescent="0.35">
      <c r="A684" t="s">
        <v>732</v>
      </c>
      <c r="B684">
        <v>82</v>
      </c>
      <c r="C684" t="s">
        <v>24</v>
      </c>
      <c r="D684" t="s">
        <v>45</v>
      </c>
      <c r="E684" t="s">
        <v>35</v>
      </c>
      <c r="F684" t="s">
        <v>41</v>
      </c>
      <c r="G684" s="1">
        <v>45447</v>
      </c>
      <c r="H684" s="1">
        <v>45465</v>
      </c>
      <c r="I684" s="4">
        <v>192599</v>
      </c>
      <c r="J684" t="s">
        <v>37</v>
      </c>
      <c r="K684" t="s">
        <v>42</v>
      </c>
      <c r="L684" t="s">
        <v>33</v>
      </c>
      <c r="M684" t="s">
        <v>64</v>
      </c>
      <c r="N684">
        <v>3</v>
      </c>
      <c r="X684">
        <v>6</v>
      </c>
      <c r="AB684" t="str">
        <f t="shared" si="10"/>
        <v>Jun</v>
      </c>
    </row>
    <row r="685" spans="1:28" x14ac:dyDescent="0.35">
      <c r="A685" t="s">
        <v>733</v>
      </c>
      <c r="B685">
        <v>52</v>
      </c>
      <c r="C685" t="s">
        <v>24</v>
      </c>
      <c r="D685" t="s">
        <v>25</v>
      </c>
      <c r="E685" t="s">
        <v>35</v>
      </c>
      <c r="F685" t="s">
        <v>56</v>
      </c>
      <c r="G685" s="1">
        <v>45996</v>
      </c>
      <c r="H685" s="1">
        <v>46014</v>
      </c>
      <c r="I685" s="4">
        <v>43912</v>
      </c>
      <c r="J685" t="s">
        <v>28</v>
      </c>
      <c r="K685" t="s">
        <v>63</v>
      </c>
      <c r="L685" t="s">
        <v>43</v>
      </c>
      <c r="M685" t="s">
        <v>22</v>
      </c>
      <c r="N685">
        <v>1</v>
      </c>
      <c r="X685">
        <v>12</v>
      </c>
      <c r="AB685" t="str">
        <f t="shared" si="10"/>
        <v>Dec</v>
      </c>
    </row>
    <row r="686" spans="1:28" x14ac:dyDescent="0.35">
      <c r="A686" t="s">
        <v>734</v>
      </c>
      <c r="B686">
        <v>45</v>
      </c>
      <c r="C686" t="s">
        <v>15</v>
      </c>
      <c r="D686" t="s">
        <v>45</v>
      </c>
      <c r="E686" t="s">
        <v>35</v>
      </c>
      <c r="F686" t="s">
        <v>36</v>
      </c>
      <c r="G686" s="1">
        <v>45797</v>
      </c>
      <c r="H686" s="1">
        <v>45809</v>
      </c>
      <c r="I686" s="4">
        <v>64529</v>
      </c>
      <c r="J686" t="s">
        <v>28</v>
      </c>
      <c r="K686" t="s">
        <v>42</v>
      </c>
      <c r="L686" t="s">
        <v>33</v>
      </c>
      <c r="M686" t="s">
        <v>22</v>
      </c>
      <c r="N686">
        <v>1</v>
      </c>
      <c r="X686">
        <v>5</v>
      </c>
      <c r="AB686" t="str">
        <f t="shared" si="10"/>
        <v>May</v>
      </c>
    </row>
    <row r="687" spans="1:28" x14ac:dyDescent="0.35">
      <c r="A687" t="s">
        <v>735</v>
      </c>
      <c r="B687">
        <v>27</v>
      </c>
      <c r="C687" t="s">
        <v>24</v>
      </c>
      <c r="D687" t="s">
        <v>45</v>
      </c>
      <c r="E687" t="s">
        <v>40</v>
      </c>
      <c r="F687" t="s">
        <v>18</v>
      </c>
      <c r="G687" s="1">
        <v>45805</v>
      </c>
      <c r="H687" s="1">
        <v>45807</v>
      </c>
      <c r="I687" s="4">
        <v>229970</v>
      </c>
      <c r="J687" t="s">
        <v>28</v>
      </c>
      <c r="K687" t="s">
        <v>29</v>
      </c>
      <c r="L687" t="s">
        <v>48</v>
      </c>
      <c r="M687" t="s">
        <v>64</v>
      </c>
      <c r="N687">
        <v>2</v>
      </c>
      <c r="X687">
        <v>5</v>
      </c>
      <c r="AB687" t="str">
        <f t="shared" si="10"/>
        <v>May</v>
      </c>
    </row>
    <row r="688" spans="1:28" x14ac:dyDescent="0.35">
      <c r="A688" t="s">
        <v>736</v>
      </c>
      <c r="B688">
        <v>43</v>
      </c>
      <c r="C688" t="s">
        <v>15</v>
      </c>
      <c r="D688" t="s">
        <v>58</v>
      </c>
      <c r="E688" t="s">
        <v>17</v>
      </c>
      <c r="F688" t="s">
        <v>56</v>
      </c>
      <c r="G688" s="1">
        <v>45356</v>
      </c>
      <c r="H688" s="1">
        <v>45357</v>
      </c>
      <c r="I688" s="4">
        <v>185761</v>
      </c>
      <c r="J688" t="s">
        <v>28</v>
      </c>
      <c r="K688" t="s">
        <v>29</v>
      </c>
      <c r="L688" t="s">
        <v>48</v>
      </c>
      <c r="M688" t="s">
        <v>38</v>
      </c>
      <c r="N688">
        <v>1</v>
      </c>
      <c r="X688">
        <v>3</v>
      </c>
      <c r="AB688" t="str">
        <f t="shared" si="10"/>
        <v>Mar</v>
      </c>
    </row>
    <row r="689" spans="1:28" x14ac:dyDescent="0.35">
      <c r="A689" t="s">
        <v>737</v>
      </c>
      <c r="B689">
        <v>55</v>
      </c>
      <c r="C689" t="s">
        <v>15</v>
      </c>
      <c r="D689" t="s">
        <v>50</v>
      </c>
      <c r="E689" t="s">
        <v>40</v>
      </c>
      <c r="F689" t="s">
        <v>18</v>
      </c>
      <c r="G689" s="1">
        <v>45575</v>
      </c>
      <c r="H689" s="1">
        <v>45589</v>
      </c>
      <c r="I689" s="4">
        <v>58849</v>
      </c>
      <c r="J689" t="s">
        <v>28</v>
      </c>
      <c r="K689" t="s">
        <v>20</v>
      </c>
      <c r="L689" t="s">
        <v>43</v>
      </c>
      <c r="M689" t="s">
        <v>38</v>
      </c>
      <c r="N689">
        <v>3</v>
      </c>
      <c r="X689">
        <v>10</v>
      </c>
      <c r="AB689" t="str">
        <f t="shared" si="10"/>
        <v>Oct</v>
      </c>
    </row>
    <row r="690" spans="1:28" x14ac:dyDescent="0.35">
      <c r="A690" t="s">
        <v>738</v>
      </c>
      <c r="B690">
        <v>50</v>
      </c>
      <c r="C690" t="s">
        <v>15</v>
      </c>
      <c r="D690" t="s">
        <v>50</v>
      </c>
      <c r="E690" t="s">
        <v>40</v>
      </c>
      <c r="F690" t="s">
        <v>36</v>
      </c>
      <c r="G690" s="1">
        <v>45327</v>
      </c>
      <c r="H690" s="1">
        <v>45346</v>
      </c>
      <c r="I690" s="4">
        <v>229349</v>
      </c>
      <c r="J690" t="s">
        <v>28</v>
      </c>
      <c r="K690" t="s">
        <v>42</v>
      </c>
      <c r="L690" t="s">
        <v>43</v>
      </c>
      <c r="M690" t="s">
        <v>38</v>
      </c>
      <c r="N690">
        <v>5</v>
      </c>
      <c r="X690">
        <v>2</v>
      </c>
      <c r="AB690" t="str">
        <f t="shared" si="10"/>
        <v>Feb</v>
      </c>
    </row>
    <row r="691" spans="1:28" x14ac:dyDescent="0.35">
      <c r="A691" t="s">
        <v>739</v>
      </c>
      <c r="B691">
        <v>32</v>
      </c>
      <c r="C691" t="s">
        <v>15</v>
      </c>
      <c r="D691" t="s">
        <v>53</v>
      </c>
      <c r="E691" t="s">
        <v>51</v>
      </c>
      <c r="F691" t="s">
        <v>27</v>
      </c>
      <c r="G691" s="1">
        <v>45485</v>
      </c>
      <c r="H691" s="1">
        <v>45487</v>
      </c>
      <c r="I691" s="4">
        <v>77636</v>
      </c>
      <c r="J691" t="s">
        <v>19</v>
      </c>
      <c r="K691" t="s">
        <v>42</v>
      </c>
      <c r="L691" t="s">
        <v>43</v>
      </c>
      <c r="M691" t="s">
        <v>22</v>
      </c>
      <c r="N691">
        <v>3</v>
      </c>
      <c r="X691">
        <v>7</v>
      </c>
      <c r="AB691" t="str">
        <f t="shared" si="10"/>
        <v>Jul</v>
      </c>
    </row>
    <row r="692" spans="1:28" x14ac:dyDescent="0.35">
      <c r="A692" t="s">
        <v>740</v>
      </c>
      <c r="B692">
        <v>50</v>
      </c>
      <c r="C692" t="s">
        <v>15</v>
      </c>
      <c r="D692" t="s">
        <v>25</v>
      </c>
      <c r="E692" t="s">
        <v>40</v>
      </c>
      <c r="F692" t="s">
        <v>41</v>
      </c>
      <c r="G692" s="1">
        <v>45356</v>
      </c>
      <c r="H692" s="1">
        <v>45367</v>
      </c>
      <c r="I692" s="4">
        <v>249910</v>
      </c>
      <c r="J692" t="s">
        <v>37</v>
      </c>
      <c r="K692" t="s">
        <v>42</v>
      </c>
      <c r="L692" t="s">
        <v>33</v>
      </c>
      <c r="M692" t="s">
        <v>64</v>
      </c>
      <c r="N692">
        <v>3</v>
      </c>
      <c r="X692">
        <v>3</v>
      </c>
      <c r="AB692" t="str">
        <f t="shared" si="10"/>
        <v>Mar</v>
      </c>
    </row>
    <row r="693" spans="1:28" x14ac:dyDescent="0.35">
      <c r="A693" t="s">
        <v>741</v>
      </c>
      <c r="B693">
        <v>49</v>
      </c>
      <c r="C693" t="s">
        <v>24</v>
      </c>
      <c r="D693" t="s">
        <v>31</v>
      </c>
      <c r="E693" t="s">
        <v>51</v>
      </c>
      <c r="F693" t="s">
        <v>18</v>
      </c>
      <c r="G693" s="1">
        <v>45827</v>
      </c>
      <c r="H693" s="1">
        <v>45845</v>
      </c>
      <c r="I693" s="4">
        <v>76225</v>
      </c>
      <c r="J693" t="s">
        <v>61</v>
      </c>
      <c r="K693" t="s">
        <v>20</v>
      </c>
      <c r="L693" t="s">
        <v>48</v>
      </c>
      <c r="M693" t="s">
        <v>64</v>
      </c>
      <c r="N693">
        <v>1</v>
      </c>
      <c r="X693">
        <v>6</v>
      </c>
      <c r="AB693" t="str">
        <f t="shared" si="10"/>
        <v>Jun</v>
      </c>
    </row>
    <row r="694" spans="1:28" x14ac:dyDescent="0.35">
      <c r="A694" t="s">
        <v>742</v>
      </c>
      <c r="B694">
        <v>30</v>
      </c>
      <c r="C694" t="s">
        <v>15</v>
      </c>
      <c r="D694" t="s">
        <v>25</v>
      </c>
      <c r="E694" t="s">
        <v>26</v>
      </c>
      <c r="F694" t="s">
        <v>41</v>
      </c>
      <c r="G694" s="1">
        <v>45665</v>
      </c>
      <c r="H694" s="1">
        <v>45679</v>
      </c>
      <c r="I694" s="4">
        <v>111288</v>
      </c>
      <c r="J694" t="s">
        <v>61</v>
      </c>
      <c r="K694" t="s">
        <v>42</v>
      </c>
      <c r="L694" t="s">
        <v>48</v>
      </c>
      <c r="M694" t="s">
        <v>38</v>
      </c>
      <c r="N694">
        <v>4</v>
      </c>
      <c r="X694">
        <v>1</v>
      </c>
      <c r="AB694" t="str">
        <f t="shared" si="10"/>
        <v>Jan</v>
      </c>
    </row>
    <row r="695" spans="1:28" x14ac:dyDescent="0.35">
      <c r="A695" t="s">
        <v>743</v>
      </c>
      <c r="B695">
        <v>76</v>
      </c>
      <c r="C695" t="s">
        <v>24</v>
      </c>
      <c r="D695" t="s">
        <v>25</v>
      </c>
      <c r="E695" t="s">
        <v>32</v>
      </c>
      <c r="F695" t="s">
        <v>27</v>
      </c>
      <c r="G695" s="1">
        <v>45712</v>
      </c>
      <c r="H695" s="1">
        <v>45714</v>
      </c>
      <c r="I695" s="4">
        <v>120883</v>
      </c>
      <c r="J695" t="s">
        <v>37</v>
      </c>
      <c r="K695" t="s">
        <v>42</v>
      </c>
      <c r="L695" t="s">
        <v>43</v>
      </c>
      <c r="M695" t="s">
        <v>64</v>
      </c>
      <c r="N695">
        <v>3</v>
      </c>
      <c r="X695">
        <v>2</v>
      </c>
      <c r="AB695" t="str">
        <f t="shared" si="10"/>
        <v>Feb</v>
      </c>
    </row>
    <row r="696" spans="1:28" x14ac:dyDescent="0.35">
      <c r="A696" t="s">
        <v>744</v>
      </c>
      <c r="B696">
        <v>61</v>
      </c>
      <c r="C696" t="s">
        <v>24</v>
      </c>
      <c r="D696" t="s">
        <v>58</v>
      </c>
      <c r="E696" t="s">
        <v>40</v>
      </c>
      <c r="F696" t="s">
        <v>27</v>
      </c>
      <c r="G696" s="1">
        <v>45710</v>
      </c>
      <c r="H696" s="1">
        <v>45730</v>
      </c>
      <c r="I696" s="4">
        <v>229973</v>
      </c>
      <c r="J696" t="s">
        <v>19</v>
      </c>
      <c r="K696" t="s">
        <v>20</v>
      </c>
      <c r="L696" t="s">
        <v>48</v>
      </c>
      <c r="M696" t="s">
        <v>38</v>
      </c>
      <c r="N696">
        <v>4</v>
      </c>
      <c r="X696">
        <v>2</v>
      </c>
      <c r="AB696" t="str">
        <f t="shared" si="10"/>
        <v>Feb</v>
      </c>
    </row>
    <row r="697" spans="1:28" x14ac:dyDescent="0.35">
      <c r="A697" t="s">
        <v>745</v>
      </c>
      <c r="B697">
        <v>53</v>
      </c>
      <c r="C697" t="s">
        <v>15</v>
      </c>
      <c r="D697" t="s">
        <v>45</v>
      </c>
      <c r="E697" t="s">
        <v>51</v>
      </c>
      <c r="F697" t="s">
        <v>27</v>
      </c>
      <c r="G697" s="1">
        <v>45310</v>
      </c>
      <c r="H697" s="1">
        <v>45327</v>
      </c>
      <c r="I697" s="4">
        <v>196757</v>
      </c>
      <c r="J697" t="s">
        <v>28</v>
      </c>
      <c r="K697" t="s">
        <v>29</v>
      </c>
      <c r="L697" t="s">
        <v>43</v>
      </c>
      <c r="M697" t="s">
        <v>38</v>
      </c>
      <c r="N697">
        <v>3</v>
      </c>
      <c r="X697">
        <v>1</v>
      </c>
      <c r="AB697" t="str">
        <f t="shared" si="10"/>
        <v>Jan</v>
      </c>
    </row>
    <row r="698" spans="1:28" x14ac:dyDescent="0.35">
      <c r="A698" t="s">
        <v>746</v>
      </c>
      <c r="B698">
        <v>76</v>
      </c>
      <c r="C698" t="s">
        <v>15</v>
      </c>
      <c r="D698" t="s">
        <v>53</v>
      </c>
      <c r="E698" t="s">
        <v>51</v>
      </c>
      <c r="F698" t="s">
        <v>18</v>
      </c>
      <c r="G698" s="1">
        <v>45388</v>
      </c>
      <c r="H698" s="1">
        <v>45408</v>
      </c>
      <c r="I698" s="4">
        <v>59162</v>
      </c>
      <c r="J698" t="s">
        <v>19</v>
      </c>
      <c r="K698" t="s">
        <v>63</v>
      </c>
      <c r="L698" t="s">
        <v>48</v>
      </c>
      <c r="M698" t="s">
        <v>38</v>
      </c>
      <c r="N698">
        <v>4</v>
      </c>
      <c r="X698">
        <v>4</v>
      </c>
      <c r="AB698" t="str">
        <f t="shared" si="10"/>
        <v>Apr</v>
      </c>
    </row>
    <row r="699" spans="1:28" x14ac:dyDescent="0.35">
      <c r="A699" t="s">
        <v>747</v>
      </c>
      <c r="B699">
        <v>35</v>
      </c>
      <c r="C699" t="s">
        <v>15</v>
      </c>
      <c r="D699" t="s">
        <v>45</v>
      </c>
      <c r="E699" t="s">
        <v>17</v>
      </c>
      <c r="F699" t="s">
        <v>36</v>
      </c>
      <c r="G699" s="1">
        <v>45470</v>
      </c>
      <c r="H699" s="1">
        <v>45481</v>
      </c>
      <c r="I699" s="4">
        <v>94097</v>
      </c>
      <c r="J699" t="s">
        <v>37</v>
      </c>
      <c r="K699" t="s">
        <v>63</v>
      </c>
      <c r="L699" t="s">
        <v>48</v>
      </c>
      <c r="M699" t="s">
        <v>22</v>
      </c>
      <c r="N699">
        <v>4</v>
      </c>
      <c r="X699">
        <v>6</v>
      </c>
      <c r="AB699" t="str">
        <f t="shared" si="10"/>
        <v>Jun</v>
      </c>
    </row>
    <row r="700" spans="1:28" x14ac:dyDescent="0.35">
      <c r="A700" t="s">
        <v>748</v>
      </c>
      <c r="B700">
        <v>85</v>
      </c>
      <c r="C700" t="s">
        <v>24</v>
      </c>
      <c r="D700" t="s">
        <v>50</v>
      </c>
      <c r="E700" t="s">
        <v>35</v>
      </c>
      <c r="F700" t="s">
        <v>41</v>
      </c>
      <c r="G700" s="1">
        <v>45953</v>
      </c>
      <c r="H700" s="1">
        <v>45964</v>
      </c>
      <c r="I700" s="4">
        <v>29240</v>
      </c>
      <c r="J700" t="s">
        <v>37</v>
      </c>
      <c r="K700" t="s">
        <v>29</v>
      </c>
      <c r="L700" t="s">
        <v>48</v>
      </c>
      <c r="M700" t="s">
        <v>22</v>
      </c>
      <c r="N700">
        <v>2</v>
      </c>
      <c r="X700">
        <v>10</v>
      </c>
      <c r="AB700" t="str">
        <f t="shared" si="10"/>
        <v>Oct</v>
      </c>
    </row>
    <row r="701" spans="1:28" x14ac:dyDescent="0.35">
      <c r="A701" t="s">
        <v>749</v>
      </c>
      <c r="B701">
        <v>65</v>
      </c>
      <c r="C701" t="s">
        <v>24</v>
      </c>
      <c r="D701" t="s">
        <v>45</v>
      </c>
      <c r="E701" t="s">
        <v>35</v>
      </c>
      <c r="F701" t="s">
        <v>41</v>
      </c>
      <c r="G701" s="1">
        <v>45341</v>
      </c>
      <c r="H701" s="1">
        <v>45344</v>
      </c>
      <c r="I701" s="4">
        <v>17536</v>
      </c>
      <c r="J701" t="s">
        <v>19</v>
      </c>
      <c r="K701" t="s">
        <v>20</v>
      </c>
      <c r="L701" t="s">
        <v>48</v>
      </c>
      <c r="M701" t="s">
        <v>64</v>
      </c>
      <c r="N701">
        <v>1</v>
      </c>
      <c r="X701">
        <v>2</v>
      </c>
      <c r="AB701" t="str">
        <f t="shared" si="10"/>
        <v>Feb</v>
      </c>
    </row>
    <row r="702" spans="1:28" x14ac:dyDescent="0.35">
      <c r="A702" t="s">
        <v>750</v>
      </c>
      <c r="B702">
        <v>42</v>
      </c>
      <c r="C702" t="s">
        <v>24</v>
      </c>
      <c r="D702" t="s">
        <v>50</v>
      </c>
      <c r="E702" t="s">
        <v>35</v>
      </c>
      <c r="F702" t="s">
        <v>56</v>
      </c>
      <c r="G702" s="1">
        <v>45967</v>
      </c>
      <c r="H702" s="1">
        <v>45987</v>
      </c>
      <c r="I702" s="4">
        <v>112192</v>
      </c>
      <c r="J702" t="s">
        <v>19</v>
      </c>
      <c r="K702" t="s">
        <v>29</v>
      </c>
      <c r="L702" t="s">
        <v>33</v>
      </c>
      <c r="M702" t="s">
        <v>38</v>
      </c>
      <c r="N702">
        <v>4</v>
      </c>
      <c r="X702">
        <v>11</v>
      </c>
      <c r="AB702" t="str">
        <f t="shared" si="10"/>
        <v>Nov</v>
      </c>
    </row>
    <row r="703" spans="1:28" x14ac:dyDescent="0.35">
      <c r="A703" t="s">
        <v>751</v>
      </c>
      <c r="B703">
        <v>64</v>
      </c>
      <c r="C703" t="s">
        <v>24</v>
      </c>
      <c r="D703" t="s">
        <v>53</v>
      </c>
      <c r="E703" t="s">
        <v>26</v>
      </c>
      <c r="F703" t="s">
        <v>27</v>
      </c>
      <c r="G703" s="1">
        <v>45587</v>
      </c>
      <c r="H703" s="1">
        <v>45595</v>
      </c>
      <c r="I703" s="4">
        <v>138582</v>
      </c>
      <c r="J703" t="s">
        <v>37</v>
      </c>
      <c r="K703" t="s">
        <v>20</v>
      </c>
      <c r="L703" t="s">
        <v>46</v>
      </c>
      <c r="M703" t="s">
        <v>64</v>
      </c>
      <c r="N703">
        <v>2</v>
      </c>
      <c r="X703">
        <v>10</v>
      </c>
      <c r="AB703" t="str">
        <f t="shared" si="10"/>
        <v>Oct</v>
      </c>
    </row>
    <row r="704" spans="1:28" x14ac:dyDescent="0.35">
      <c r="A704" t="s">
        <v>752</v>
      </c>
      <c r="B704">
        <v>82</v>
      </c>
      <c r="C704" t="s">
        <v>24</v>
      </c>
      <c r="D704" t="s">
        <v>31</v>
      </c>
      <c r="E704" t="s">
        <v>40</v>
      </c>
      <c r="F704" t="s">
        <v>56</v>
      </c>
      <c r="G704" s="1">
        <v>45865</v>
      </c>
      <c r="H704" s="1">
        <v>45878</v>
      </c>
      <c r="I704" s="4">
        <v>149733</v>
      </c>
      <c r="J704" t="s">
        <v>19</v>
      </c>
      <c r="K704" t="s">
        <v>29</v>
      </c>
      <c r="L704" t="s">
        <v>33</v>
      </c>
      <c r="M704" t="s">
        <v>38</v>
      </c>
      <c r="N704">
        <v>5</v>
      </c>
      <c r="X704">
        <v>7</v>
      </c>
      <c r="AB704" t="str">
        <f t="shared" si="10"/>
        <v>Jul</v>
      </c>
    </row>
    <row r="705" spans="1:28" x14ac:dyDescent="0.35">
      <c r="A705" t="s">
        <v>753</v>
      </c>
      <c r="B705">
        <v>22</v>
      </c>
      <c r="C705" t="s">
        <v>24</v>
      </c>
      <c r="D705" t="s">
        <v>53</v>
      </c>
      <c r="E705" t="s">
        <v>51</v>
      </c>
      <c r="F705" t="s">
        <v>36</v>
      </c>
      <c r="G705" s="1">
        <v>45602</v>
      </c>
      <c r="H705" s="1">
        <v>45614</v>
      </c>
      <c r="I705" s="4">
        <v>248098</v>
      </c>
      <c r="J705" t="s">
        <v>19</v>
      </c>
      <c r="K705" t="s">
        <v>42</v>
      </c>
      <c r="L705" t="s">
        <v>46</v>
      </c>
      <c r="M705" t="s">
        <v>22</v>
      </c>
      <c r="N705">
        <v>4</v>
      </c>
      <c r="X705">
        <v>11</v>
      </c>
      <c r="AB705" t="str">
        <f t="shared" si="10"/>
        <v>Nov</v>
      </c>
    </row>
    <row r="706" spans="1:28" x14ac:dyDescent="0.35">
      <c r="A706" t="s">
        <v>754</v>
      </c>
      <c r="B706">
        <v>26</v>
      </c>
      <c r="C706" t="s">
        <v>15</v>
      </c>
      <c r="D706" t="s">
        <v>31</v>
      </c>
      <c r="E706" t="s">
        <v>32</v>
      </c>
      <c r="F706" t="s">
        <v>41</v>
      </c>
      <c r="G706" s="1">
        <v>45856</v>
      </c>
      <c r="H706" s="1">
        <v>45869</v>
      </c>
      <c r="I706" s="4">
        <v>243307</v>
      </c>
      <c r="J706" t="s">
        <v>19</v>
      </c>
      <c r="K706" t="s">
        <v>63</v>
      </c>
      <c r="L706" t="s">
        <v>21</v>
      </c>
      <c r="M706" t="s">
        <v>22</v>
      </c>
      <c r="N706">
        <v>1</v>
      </c>
      <c r="X706">
        <v>7</v>
      </c>
      <c r="AB706" t="str">
        <f t="shared" si="10"/>
        <v>Jul</v>
      </c>
    </row>
    <row r="707" spans="1:28" x14ac:dyDescent="0.35">
      <c r="A707" t="s">
        <v>755</v>
      </c>
      <c r="B707">
        <v>52</v>
      </c>
      <c r="C707" t="s">
        <v>15</v>
      </c>
      <c r="D707" t="s">
        <v>16</v>
      </c>
      <c r="E707" t="s">
        <v>35</v>
      </c>
      <c r="F707" t="s">
        <v>36</v>
      </c>
      <c r="G707" s="1">
        <v>45439</v>
      </c>
      <c r="H707" s="1">
        <v>45440</v>
      </c>
      <c r="I707" s="4">
        <v>85964</v>
      </c>
      <c r="J707" t="s">
        <v>28</v>
      </c>
      <c r="K707" t="s">
        <v>63</v>
      </c>
      <c r="L707" t="s">
        <v>46</v>
      </c>
      <c r="M707" t="s">
        <v>38</v>
      </c>
      <c r="N707">
        <v>4</v>
      </c>
      <c r="X707">
        <v>5</v>
      </c>
      <c r="AB707" t="str">
        <f t="shared" ref="AB707:AB770" si="11">TEXT(G707,"mmm")</f>
        <v>May</v>
      </c>
    </row>
    <row r="708" spans="1:28" x14ac:dyDescent="0.35">
      <c r="A708" t="s">
        <v>756</v>
      </c>
      <c r="B708">
        <v>28</v>
      </c>
      <c r="C708" t="s">
        <v>24</v>
      </c>
      <c r="D708" t="s">
        <v>58</v>
      </c>
      <c r="E708" t="s">
        <v>17</v>
      </c>
      <c r="F708" t="s">
        <v>27</v>
      </c>
      <c r="G708" s="1">
        <v>45767</v>
      </c>
      <c r="H708" s="1">
        <v>45776</v>
      </c>
      <c r="I708" s="4">
        <v>196593</v>
      </c>
      <c r="J708" t="s">
        <v>37</v>
      </c>
      <c r="K708" t="s">
        <v>42</v>
      </c>
      <c r="L708" t="s">
        <v>21</v>
      </c>
      <c r="M708" t="s">
        <v>38</v>
      </c>
      <c r="N708">
        <v>2</v>
      </c>
      <c r="X708">
        <v>4</v>
      </c>
      <c r="AB708" t="str">
        <f t="shared" si="11"/>
        <v>Apr</v>
      </c>
    </row>
    <row r="709" spans="1:28" x14ac:dyDescent="0.35">
      <c r="A709" t="s">
        <v>757</v>
      </c>
      <c r="B709">
        <v>42</v>
      </c>
      <c r="C709" t="s">
        <v>15</v>
      </c>
      <c r="D709" t="s">
        <v>53</v>
      </c>
      <c r="E709" t="s">
        <v>51</v>
      </c>
      <c r="F709" t="s">
        <v>18</v>
      </c>
      <c r="G709" s="1">
        <v>45340</v>
      </c>
      <c r="H709" s="1">
        <v>45356</v>
      </c>
      <c r="I709" s="4">
        <v>110025</v>
      </c>
      <c r="J709" t="s">
        <v>19</v>
      </c>
      <c r="K709" t="s">
        <v>29</v>
      </c>
      <c r="L709" t="s">
        <v>46</v>
      </c>
      <c r="M709" t="s">
        <v>38</v>
      </c>
      <c r="N709">
        <v>5</v>
      </c>
      <c r="X709">
        <v>2</v>
      </c>
      <c r="AB709" t="str">
        <f t="shared" si="11"/>
        <v>Feb</v>
      </c>
    </row>
    <row r="710" spans="1:28" x14ac:dyDescent="0.35">
      <c r="A710" t="s">
        <v>758</v>
      </c>
      <c r="B710">
        <v>53</v>
      </c>
      <c r="C710" t="s">
        <v>15</v>
      </c>
      <c r="D710" t="s">
        <v>31</v>
      </c>
      <c r="E710" t="s">
        <v>51</v>
      </c>
      <c r="F710" t="s">
        <v>41</v>
      </c>
      <c r="G710" s="1">
        <v>45600</v>
      </c>
      <c r="H710" s="1">
        <v>45613</v>
      </c>
      <c r="I710" s="4">
        <v>126324</v>
      </c>
      <c r="J710" t="s">
        <v>28</v>
      </c>
      <c r="K710" t="s">
        <v>63</v>
      </c>
      <c r="L710" t="s">
        <v>33</v>
      </c>
      <c r="M710" t="s">
        <v>22</v>
      </c>
      <c r="N710">
        <v>4</v>
      </c>
      <c r="X710">
        <v>11</v>
      </c>
      <c r="AB710" t="str">
        <f t="shared" si="11"/>
        <v>Nov</v>
      </c>
    </row>
    <row r="711" spans="1:28" x14ac:dyDescent="0.35">
      <c r="A711" t="s">
        <v>759</v>
      </c>
      <c r="B711">
        <v>33</v>
      </c>
      <c r="C711" t="s">
        <v>24</v>
      </c>
      <c r="D711" t="s">
        <v>50</v>
      </c>
      <c r="E711" t="s">
        <v>26</v>
      </c>
      <c r="F711" t="s">
        <v>41</v>
      </c>
      <c r="G711" s="1">
        <v>45337</v>
      </c>
      <c r="H711" s="1">
        <v>45351</v>
      </c>
      <c r="I711" s="4">
        <v>233387</v>
      </c>
      <c r="J711" t="s">
        <v>28</v>
      </c>
      <c r="K711" t="s">
        <v>20</v>
      </c>
      <c r="L711" t="s">
        <v>33</v>
      </c>
      <c r="M711" t="s">
        <v>38</v>
      </c>
      <c r="N711">
        <v>2</v>
      </c>
      <c r="X711">
        <v>2</v>
      </c>
      <c r="AB711" t="str">
        <f t="shared" si="11"/>
        <v>Feb</v>
      </c>
    </row>
    <row r="712" spans="1:28" x14ac:dyDescent="0.35">
      <c r="A712" t="s">
        <v>760</v>
      </c>
      <c r="B712">
        <v>19</v>
      </c>
      <c r="C712" t="s">
        <v>24</v>
      </c>
      <c r="D712" t="s">
        <v>45</v>
      </c>
      <c r="E712" t="s">
        <v>17</v>
      </c>
      <c r="F712" t="s">
        <v>27</v>
      </c>
      <c r="G712" s="1">
        <v>45985</v>
      </c>
      <c r="H712" s="1">
        <v>45987</v>
      </c>
      <c r="I712" s="4">
        <v>164325</v>
      </c>
      <c r="J712" t="s">
        <v>28</v>
      </c>
      <c r="K712" t="s">
        <v>20</v>
      </c>
      <c r="L712" t="s">
        <v>43</v>
      </c>
      <c r="M712" t="s">
        <v>64</v>
      </c>
      <c r="N712">
        <v>1</v>
      </c>
      <c r="X712">
        <v>11</v>
      </c>
      <c r="AB712" t="str">
        <f t="shared" si="11"/>
        <v>Nov</v>
      </c>
    </row>
    <row r="713" spans="1:28" x14ac:dyDescent="0.35">
      <c r="A713" t="s">
        <v>761</v>
      </c>
      <c r="B713">
        <v>25</v>
      </c>
      <c r="C713" t="s">
        <v>15</v>
      </c>
      <c r="D713" t="s">
        <v>16</v>
      </c>
      <c r="E713" t="s">
        <v>51</v>
      </c>
      <c r="F713" t="s">
        <v>36</v>
      </c>
      <c r="G713" s="1">
        <v>45916</v>
      </c>
      <c r="H713" s="1">
        <v>45926</v>
      </c>
      <c r="I713" s="4">
        <v>14146</v>
      </c>
      <c r="J713" t="s">
        <v>37</v>
      </c>
      <c r="K713" t="s">
        <v>20</v>
      </c>
      <c r="L713" t="s">
        <v>21</v>
      </c>
      <c r="M713" t="s">
        <v>22</v>
      </c>
      <c r="N713">
        <v>1</v>
      </c>
      <c r="X713">
        <v>9</v>
      </c>
      <c r="AB713" t="str">
        <f t="shared" si="11"/>
        <v>Sep</v>
      </c>
    </row>
    <row r="714" spans="1:28" x14ac:dyDescent="0.35">
      <c r="A714" t="s">
        <v>762</v>
      </c>
      <c r="B714">
        <v>56</v>
      </c>
      <c r="C714" t="s">
        <v>24</v>
      </c>
      <c r="D714" t="s">
        <v>25</v>
      </c>
      <c r="E714" t="s">
        <v>35</v>
      </c>
      <c r="F714" t="s">
        <v>36</v>
      </c>
      <c r="G714" s="1">
        <v>45420</v>
      </c>
      <c r="H714" s="1">
        <v>45423</v>
      </c>
      <c r="I714" s="4">
        <v>188013</v>
      </c>
      <c r="J714" t="s">
        <v>28</v>
      </c>
      <c r="K714" t="s">
        <v>63</v>
      </c>
      <c r="L714" t="s">
        <v>46</v>
      </c>
      <c r="M714" t="s">
        <v>38</v>
      </c>
      <c r="N714">
        <v>3</v>
      </c>
      <c r="X714">
        <v>5</v>
      </c>
      <c r="AB714" t="str">
        <f t="shared" si="11"/>
        <v>May</v>
      </c>
    </row>
    <row r="715" spans="1:28" x14ac:dyDescent="0.35">
      <c r="A715" t="s">
        <v>763</v>
      </c>
      <c r="B715">
        <v>27</v>
      </c>
      <c r="C715" t="s">
        <v>24</v>
      </c>
      <c r="D715" t="s">
        <v>25</v>
      </c>
      <c r="E715" t="s">
        <v>17</v>
      </c>
      <c r="F715" t="s">
        <v>27</v>
      </c>
      <c r="G715" s="1">
        <v>45865</v>
      </c>
      <c r="H715" s="1">
        <v>45867</v>
      </c>
      <c r="I715" s="4">
        <v>59538</v>
      </c>
      <c r="J715" t="s">
        <v>61</v>
      </c>
      <c r="K715" t="s">
        <v>20</v>
      </c>
      <c r="L715" t="s">
        <v>43</v>
      </c>
      <c r="M715" t="s">
        <v>64</v>
      </c>
      <c r="N715">
        <v>1</v>
      </c>
      <c r="X715">
        <v>7</v>
      </c>
      <c r="AB715" t="str">
        <f t="shared" si="11"/>
        <v>Jul</v>
      </c>
    </row>
    <row r="716" spans="1:28" x14ac:dyDescent="0.35">
      <c r="A716" t="s">
        <v>764</v>
      </c>
      <c r="B716">
        <v>73</v>
      </c>
      <c r="C716" t="s">
        <v>24</v>
      </c>
      <c r="D716" t="s">
        <v>45</v>
      </c>
      <c r="E716" t="s">
        <v>17</v>
      </c>
      <c r="F716" t="s">
        <v>18</v>
      </c>
      <c r="G716" s="1">
        <v>45711</v>
      </c>
      <c r="H716" s="1">
        <v>45730</v>
      </c>
      <c r="I716" s="4">
        <v>157984</v>
      </c>
      <c r="J716" t="s">
        <v>28</v>
      </c>
      <c r="K716" t="s">
        <v>42</v>
      </c>
      <c r="L716" t="s">
        <v>48</v>
      </c>
      <c r="M716" t="s">
        <v>22</v>
      </c>
      <c r="N716">
        <v>5</v>
      </c>
      <c r="X716">
        <v>2</v>
      </c>
      <c r="AB716" t="str">
        <f t="shared" si="11"/>
        <v>Feb</v>
      </c>
    </row>
    <row r="717" spans="1:28" x14ac:dyDescent="0.35">
      <c r="A717" t="s">
        <v>765</v>
      </c>
      <c r="B717">
        <v>38</v>
      </c>
      <c r="C717" t="s">
        <v>15</v>
      </c>
      <c r="D717" t="s">
        <v>25</v>
      </c>
      <c r="E717" t="s">
        <v>40</v>
      </c>
      <c r="F717" t="s">
        <v>41</v>
      </c>
      <c r="G717" s="1">
        <v>45624</v>
      </c>
      <c r="H717" s="1">
        <v>45639</v>
      </c>
      <c r="I717" s="4">
        <v>162502</v>
      </c>
      <c r="J717" t="s">
        <v>61</v>
      </c>
      <c r="K717" t="s">
        <v>63</v>
      </c>
      <c r="L717" t="s">
        <v>46</v>
      </c>
      <c r="M717" t="s">
        <v>38</v>
      </c>
      <c r="N717">
        <v>1</v>
      </c>
      <c r="X717">
        <v>11</v>
      </c>
      <c r="AB717" t="str">
        <f t="shared" si="11"/>
        <v>Nov</v>
      </c>
    </row>
    <row r="718" spans="1:28" x14ac:dyDescent="0.35">
      <c r="A718" t="s">
        <v>766</v>
      </c>
      <c r="B718">
        <v>75</v>
      </c>
      <c r="C718" t="s">
        <v>15</v>
      </c>
      <c r="D718" t="s">
        <v>53</v>
      </c>
      <c r="E718" t="s">
        <v>32</v>
      </c>
      <c r="F718" t="s">
        <v>41</v>
      </c>
      <c r="G718" s="1">
        <v>45852</v>
      </c>
      <c r="H718" s="1">
        <v>45872</v>
      </c>
      <c r="I718" s="4">
        <v>204631</v>
      </c>
      <c r="J718" t="s">
        <v>61</v>
      </c>
      <c r="K718" t="s">
        <v>29</v>
      </c>
      <c r="L718" t="s">
        <v>46</v>
      </c>
      <c r="M718" t="s">
        <v>64</v>
      </c>
      <c r="N718">
        <v>5</v>
      </c>
      <c r="X718">
        <v>7</v>
      </c>
      <c r="AB718" t="str">
        <f t="shared" si="11"/>
        <v>Jul</v>
      </c>
    </row>
    <row r="719" spans="1:28" x14ac:dyDescent="0.35">
      <c r="A719" t="s">
        <v>767</v>
      </c>
      <c r="B719">
        <v>57</v>
      </c>
      <c r="C719" t="s">
        <v>24</v>
      </c>
      <c r="D719" t="s">
        <v>45</v>
      </c>
      <c r="E719" t="s">
        <v>35</v>
      </c>
      <c r="F719" t="s">
        <v>41</v>
      </c>
      <c r="G719" s="1">
        <v>45397</v>
      </c>
      <c r="H719" s="1">
        <v>45401</v>
      </c>
      <c r="I719" s="4">
        <v>227621</v>
      </c>
      <c r="J719" t="s">
        <v>37</v>
      </c>
      <c r="K719" t="s">
        <v>20</v>
      </c>
      <c r="L719" t="s">
        <v>48</v>
      </c>
      <c r="M719" t="s">
        <v>22</v>
      </c>
      <c r="N719">
        <v>1</v>
      </c>
      <c r="X719">
        <v>4</v>
      </c>
      <c r="AB719" t="str">
        <f t="shared" si="11"/>
        <v>Apr</v>
      </c>
    </row>
    <row r="720" spans="1:28" x14ac:dyDescent="0.35">
      <c r="A720" t="s">
        <v>768</v>
      </c>
      <c r="B720">
        <v>55</v>
      </c>
      <c r="C720" t="s">
        <v>15</v>
      </c>
      <c r="D720" t="s">
        <v>16</v>
      </c>
      <c r="E720" t="s">
        <v>35</v>
      </c>
      <c r="F720" t="s">
        <v>18</v>
      </c>
      <c r="G720" s="1">
        <v>45824</v>
      </c>
      <c r="H720" s="1">
        <v>45835</v>
      </c>
      <c r="I720" s="4">
        <v>62971</v>
      </c>
      <c r="J720" t="s">
        <v>61</v>
      </c>
      <c r="K720" t="s">
        <v>63</v>
      </c>
      <c r="L720" t="s">
        <v>21</v>
      </c>
      <c r="M720" t="s">
        <v>22</v>
      </c>
      <c r="N720">
        <v>4</v>
      </c>
      <c r="X720">
        <v>6</v>
      </c>
      <c r="AB720" t="str">
        <f t="shared" si="11"/>
        <v>Jun</v>
      </c>
    </row>
    <row r="721" spans="1:28" x14ac:dyDescent="0.35">
      <c r="A721" t="s">
        <v>769</v>
      </c>
      <c r="B721">
        <v>24</v>
      </c>
      <c r="C721" t="s">
        <v>24</v>
      </c>
      <c r="D721" t="s">
        <v>58</v>
      </c>
      <c r="E721" t="s">
        <v>32</v>
      </c>
      <c r="F721" t="s">
        <v>36</v>
      </c>
      <c r="G721" s="1">
        <v>45306</v>
      </c>
      <c r="H721" s="1">
        <v>45325</v>
      </c>
      <c r="I721" s="4">
        <v>123284</v>
      </c>
      <c r="J721" t="s">
        <v>37</v>
      </c>
      <c r="K721" t="s">
        <v>42</v>
      </c>
      <c r="L721" t="s">
        <v>33</v>
      </c>
      <c r="M721" t="s">
        <v>22</v>
      </c>
      <c r="N721">
        <v>2</v>
      </c>
      <c r="X721">
        <v>1</v>
      </c>
      <c r="AB721" t="str">
        <f t="shared" si="11"/>
        <v>Jan</v>
      </c>
    </row>
    <row r="722" spans="1:28" x14ac:dyDescent="0.35">
      <c r="A722" t="s">
        <v>770</v>
      </c>
      <c r="B722">
        <v>82</v>
      </c>
      <c r="C722" t="s">
        <v>15</v>
      </c>
      <c r="D722" t="s">
        <v>25</v>
      </c>
      <c r="E722" t="s">
        <v>35</v>
      </c>
      <c r="F722" t="s">
        <v>36</v>
      </c>
      <c r="G722" s="1">
        <v>45431</v>
      </c>
      <c r="H722" s="1">
        <v>45434</v>
      </c>
      <c r="I722" s="4">
        <v>16213</v>
      </c>
      <c r="J722" t="s">
        <v>37</v>
      </c>
      <c r="K722" t="s">
        <v>63</v>
      </c>
      <c r="L722" t="s">
        <v>43</v>
      </c>
      <c r="M722" t="s">
        <v>38</v>
      </c>
      <c r="N722">
        <v>4</v>
      </c>
      <c r="X722">
        <v>5</v>
      </c>
      <c r="AB722" t="str">
        <f t="shared" si="11"/>
        <v>May</v>
      </c>
    </row>
    <row r="723" spans="1:28" x14ac:dyDescent="0.35">
      <c r="A723" t="s">
        <v>771</v>
      </c>
      <c r="B723">
        <v>63</v>
      </c>
      <c r="C723" t="s">
        <v>15</v>
      </c>
      <c r="D723" t="s">
        <v>25</v>
      </c>
      <c r="E723" t="s">
        <v>51</v>
      </c>
      <c r="F723" t="s">
        <v>41</v>
      </c>
      <c r="G723" s="1">
        <v>45765</v>
      </c>
      <c r="H723" s="1">
        <v>45766</v>
      </c>
      <c r="I723" s="4">
        <v>11795</v>
      </c>
      <c r="J723" t="s">
        <v>28</v>
      </c>
      <c r="K723" t="s">
        <v>42</v>
      </c>
      <c r="L723" t="s">
        <v>48</v>
      </c>
      <c r="M723" t="s">
        <v>22</v>
      </c>
      <c r="N723">
        <v>1</v>
      </c>
      <c r="X723">
        <v>4</v>
      </c>
      <c r="AB723" t="str">
        <f t="shared" si="11"/>
        <v>Apr</v>
      </c>
    </row>
    <row r="724" spans="1:28" x14ac:dyDescent="0.35">
      <c r="A724" t="s">
        <v>772</v>
      </c>
      <c r="B724">
        <v>77</v>
      </c>
      <c r="C724" t="s">
        <v>24</v>
      </c>
      <c r="D724" t="s">
        <v>53</v>
      </c>
      <c r="E724" t="s">
        <v>26</v>
      </c>
      <c r="F724" t="s">
        <v>41</v>
      </c>
      <c r="G724" s="1">
        <v>45740</v>
      </c>
      <c r="H724" s="1">
        <v>45756</v>
      </c>
      <c r="I724" s="4">
        <v>87429</v>
      </c>
      <c r="J724" t="s">
        <v>61</v>
      </c>
      <c r="K724" t="s">
        <v>20</v>
      </c>
      <c r="L724" t="s">
        <v>21</v>
      </c>
      <c r="M724" t="s">
        <v>22</v>
      </c>
      <c r="N724">
        <v>2</v>
      </c>
      <c r="X724">
        <v>3</v>
      </c>
      <c r="AB724" t="str">
        <f t="shared" si="11"/>
        <v>Mar</v>
      </c>
    </row>
    <row r="725" spans="1:28" x14ac:dyDescent="0.35">
      <c r="A725" t="s">
        <v>773</v>
      </c>
      <c r="B725">
        <v>29</v>
      </c>
      <c r="C725" t="s">
        <v>24</v>
      </c>
      <c r="D725" t="s">
        <v>53</v>
      </c>
      <c r="E725" t="s">
        <v>51</v>
      </c>
      <c r="F725" t="s">
        <v>41</v>
      </c>
      <c r="G725" s="1">
        <v>45708</v>
      </c>
      <c r="H725" s="1">
        <v>45725</v>
      </c>
      <c r="I725" s="4">
        <v>46799</v>
      </c>
      <c r="J725" t="s">
        <v>37</v>
      </c>
      <c r="K725" t="s">
        <v>42</v>
      </c>
      <c r="L725" t="s">
        <v>46</v>
      </c>
      <c r="M725" t="s">
        <v>64</v>
      </c>
      <c r="N725">
        <v>2</v>
      </c>
      <c r="X725">
        <v>2</v>
      </c>
      <c r="AB725" t="str">
        <f t="shared" si="11"/>
        <v>Feb</v>
      </c>
    </row>
    <row r="726" spans="1:28" x14ac:dyDescent="0.35">
      <c r="A726" t="s">
        <v>774</v>
      </c>
      <c r="B726">
        <v>38</v>
      </c>
      <c r="C726" t="s">
        <v>15</v>
      </c>
      <c r="D726" t="s">
        <v>58</v>
      </c>
      <c r="E726" t="s">
        <v>17</v>
      </c>
      <c r="F726" t="s">
        <v>36</v>
      </c>
      <c r="G726" s="1">
        <v>45467</v>
      </c>
      <c r="H726" s="1">
        <v>45478</v>
      </c>
      <c r="I726" s="4">
        <v>125952</v>
      </c>
      <c r="J726" t="s">
        <v>19</v>
      </c>
      <c r="K726" t="s">
        <v>63</v>
      </c>
      <c r="L726" t="s">
        <v>21</v>
      </c>
      <c r="M726" t="s">
        <v>64</v>
      </c>
      <c r="N726">
        <v>5</v>
      </c>
      <c r="X726">
        <v>6</v>
      </c>
      <c r="AB726" t="str">
        <f t="shared" si="11"/>
        <v>Jun</v>
      </c>
    </row>
    <row r="727" spans="1:28" x14ac:dyDescent="0.35">
      <c r="A727" t="s">
        <v>775</v>
      </c>
      <c r="B727">
        <v>85</v>
      </c>
      <c r="C727" t="s">
        <v>24</v>
      </c>
      <c r="D727" t="s">
        <v>45</v>
      </c>
      <c r="E727" t="s">
        <v>32</v>
      </c>
      <c r="F727" t="s">
        <v>56</v>
      </c>
      <c r="G727" s="1">
        <v>45931</v>
      </c>
      <c r="H727" s="1">
        <v>45938</v>
      </c>
      <c r="I727" s="4">
        <v>164053</v>
      </c>
      <c r="J727" t="s">
        <v>37</v>
      </c>
      <c r="K727" t="s">
        <v>42</v>
      </c>
      <c r="L727" t="s">
        <v>43</v>
      </c>
      <c r="M727" t="s">
        <v>22</v>
      </c>
      <c r="N727">
        <v>1</v>
      </c>
      <c r="X727">
        <v>10</v>
      </c>
      <c r="AB727" t="str">
        <f t="shared" si="11"/>
        <v>Oct</v>
      </c>
    </row>
    <row r="728" spans="1:28" x14ac:dyDescent="0.35">
      <c r="A728" t="s">
        <v>776</v>
      </c>
      <c r="B728">
        <v>53</v>
      </c>
      <c r="C728" t="s">
        <v>24</v>
      </c>
      <c r="D728" t="s">
        <v>50</v>
      </c>
      <c r="E728" t="s">
        <v>32</v>
      </c>
      <c r="F728" t="s">
        <v>41</v>
      </c>
      <c r="G728" s="1">
        <v>45813</v>
      </c>
      <c r="H728" s="1">
        <v>45833</v>
      </c>
      <c r="I728" s="4">
        <v>248229</v>
      </c>
      <c r="J728" t="s">
        <v>37</v>
      </c>
      <c r="K728" t="s">
        <v>29</v>
      </c>
      <c r="L728" t="s">
        <v>21</v>
      </c>
      <c r="M728" t="s">
        <v>64</v>
      </c>
      <c r="N728">
        <v>4</v>
      </c>
      <c r="X728">
        <v>6</v>
      </c>
      <c r="AB728" t="str">
        <f t="shared" si="11"/>
        <v>Jun</v>
      </c>
    </row>
    <row r="729" spans="1:28" x14ac:dyDescent="0.35">
      <c r="A729" t="s">
        <v>777</v>
      </c>
      <c r="B729">
        <v>78</v>
      </c>
      <c r="C729" t="s">
        <v>15</v>
      </c>
      <c r="D729" t="s">
        <v>50</v>
      </c>
      <c r="E729" t="s">
        <v>26</v>
      </c>
      <c r="F729" t="s">
        <v>56</v>
      </c>
      <c r="G729" s="1">
        <v>45880</v>
      </c>
      <c r="H729" s="1">
        <v>45897</v>
      </c>
      <c r="I729" s="4">
        <v>65287</v>
      </c>
      <c r="J729" t="s">
        <v>37</v>
      </c>
      <c r="K729" t="s">
        <v>42</v>
      </c>
      <c r="L729" t="s">
        <v>43</v>
      </c>
      <c r="M729" t="s">
        <v>64</v>
      </c>
      <c r="N729">
        <v>4</v>
      </c>
      <c r="X729">
        <v>8</v>
      </c>
      <c r="AB729" t="str">
        <f t="shared" si="11"/>
        <v>Aug</v>
      </c>
    </row>
    <row r="730" spans="1:28" x14ac:dyDescent="0.35">
      <c r="A730" t="s">
        <v>778</v>
      </c>
      <c r="B730">
        <v>23</v>
      </c>
      <c r="C730" t="s">
        <v>24</v>
      </c>
      <c r="D730" t="s">
        <v>25</v>
      </c>
      <c r="E730" t="s">
        <v>26</v>
      </c>
      <c r="F730" t="s">
        <v>36</v>
      </c>
      <c r="G730" s="1">
        <v>45366</v>
      </c>
      <c r="H730" s="1">
        <v>45367</v>
      </c>
      <c r="I730" s="4">
        <v>111518</v>
      </c>
      <c r="J730" t="s">
        <v>61</v>
      </c>
      <c r="K730" t="s">
        <v>29</v>
      </c>
      <c r="L730" t="s">
        <v>46</v>
      </c>
      <c r="M730" t="s">
        <v>38</v>
      </c>
      <c r="N730">
        <v>1</v>
      </c>
      <c r="X730">
        <v>3</v>
      </c>
      <c r="AB730" t="str">
        <f t="shared" si="11"/>
        <v>Mar</v>
      </c>
    </row>
    <row r="731" spans="1:28" x14ac:dyDescent="0.35">
      <c r="A731" t="s">
        <v>779</v>
      </c>
      <c r="B731">
        <v>85</v>
      </c>
      <c r="C731" t="s">
        <v>15</v>
      </c>
      <c r="D731" t="s">
        <v>50</v>
      </c>
      <c r="E731" t="s">
        <v>26</v>
      </c>
      <c r="F731" t="s">
        <v>56</v>
      </c>
      <c r="G731" s="1">
        <v>45860</v>
      </c>
      <c r="H731" s="1">
        <v>45875</v>
      </c>
      <c r="I731" s="4">
        <v>186032</v>
      </c>
      <c r="J731" t="s">
        <v>19</v>
      </c>
      <c r="K731" t="s">
        <v>42</v>
      </c>
      <c r="L731" t="s">
        <v>46</v>
      </c>
      <c r="M731" t="s">
        <v>22</v>
      </c>
      <c r="N731">
        <v>3</v>
      </c>
      <c r="X731">
        <v>7</v>
      </c>
      <c r="AB731" t="str">
        <f t="shared" si="11"/>
        <v>Jul</v>
      </c>
    </row>
    <row r="732" spans="1:28" x14ac:dyDescent="0.35">
      <c r="A732" t="s">
        <v>780</v>
      </c>
      <c r="B732">
        <v>56</v>
      </c>
      <c r="C732" t="s">
        <v>15</v>
      </c>
      <c r="D732" t="s">
        <v>25</v>
      </c>
      <c r="E732" t="s">
        <v>40</v>
      </c>
      <c r="F732" t="s">
        <v>27</v>
      </c>
      <c r="G732" s="1">
        <v>45594</v>
      </c>
      <c r="H732" s="1">
        <v>45613</v>
      </c>
      <c r="I732" s="4">
        <v>133348</v>
      </c>
      <c r="J732" t="s">
        <v>61</v>
      </c>
      <c r="K732" t="s">
        <v>42</v>
      </c>
      <c r="L732" t="s">
        <v>21</v>
      </c>
      <c r="M732" t="s">
        <v>64</v>
      </c>
      <c r="N732">
        <v>4</v>
      </c>
      <c r="X732">
        <v>10</v>
      </c>
      <c r="AB732" t="str">
        <f t="shared" si="11"/>
        <v>Oct</v>
      </c>
    </row>
    <row r="733" spans="1:28" x14ac:dyDescent="0.35">
      <c r="A733" t="s">
        <v>781</v>
      </c>
      <c r="B733">
        <v>52</v>
      </c>
      <c r="C733" t="s">
        <v>15</v>
      </c>
      <c r="D733" t="s">
        <v>16</v>
      </c>
      <c r="E733" t="s">
        <v>51</v>
      </c>
      <c r="F733" t="s">
        <v>36</v>
      </c>
      <c r="G733" s="1">
        <v>45880</v>
      </c>
      <c r="H733" s="1">
        <v>45900</v>
      </c>
      <c r="I733" s="4">
        <v>166943</v>
      </c>
      <c r="J733" t="s">
        <v>19</v>
      </c>
      <c r="K733" t="s">
        <v>63</v>
      </c>
      <c r="L733" t="s">
        <v>43</v>
      </c>
      <c r="M733" t="s">
        <v>22</v>
      </c>
      <c r="N733">
        <v>1</v>
      </c>
      <c r="X733">
        <v>8</v>
      </c>
      <c r="AB733" t="str">
        <f t="shared" si="11"/>
        <v>Aug</v>
      </c>
    </row>
    <row r="734" spans="1:28" x14ac:dyDescent="0.35">
      <c r="A734" t="s">
        <v>782</v>
      </c>
      <c r="B734">
        <v>82</v>
      </c>
      <c r="C734" t="s">
        <v>24</v>
      </c>
      <c r="D734" t="s">
        <v>25</v>
      </c>
      <c r="E734" t="s">
        <v>40</v>
      </c>
      <c r="F734" t="s">
        <v>56</v>
      </c>
      <c r="G734" s="1">
        <v>45507</v>
      </c>
      <c r="H734" s="1">
        <v>45522</v>
      </c>
      <c r="I734" s="4">
        <v>33032</v>
      </c>
      <c r="J734" t="s">
        <v>28</v>
      </c>
      <c r="K734" t="s">
        <v>29</v>
      </c>
      <c r="L734" t="s">
        <v>43</v>
      </c>
      <c r="M734" t="s">
        <v>38</v>
      </c>
      <c r="N734">
        <v>3</v>
      </c>
      <c r="X734">
        <v>8</v>
      </c>
      <c r="AB734" t="str">
        <f t="shared" si="11"/>
        <v>Aug</v>
      </c>
    </row>
    <row r="735" spans="1:28" x14ac:dyDescent="0.35">
      <c r="A735" t="s">
        <v>783</v>
      </c>
      <c r="B735">
        <v>68</v>
      </c>
      <c r="C735" t="s">
        <v>24</v>
      </c>
      <c r="D735" t="s">
        <v>45</v>
      </c>
      <c r="E735" t="s">
        <v>40</v>
      </c>
      <c r="F735" t="s">
        <v>18</v>
      </c>
      <c r="G735" s="1">
        <v>45701</v>
      </c>
      <c r="H735" s="1">
        <v>45714</v>
      </c>
      <c r="I735" s="4">
        <v>168965</v>
      </c>
      <c r="J735" t="s">
        <v>61</v>
      </c>
      <c r="K735" t="s">
        <v>42</v>
      </c>
      <c r="L735" t="s">
        <v>21</v>
      </c>
      <c r="M735" t="s">
        <v>22</v>
      </c>
      <c r="N735">
        <v>2</v>
      </c>
      <c r="X735">
        <v>2</v>
      </c>
      <c r="AB735" t="str">
        <f t="shared" si="11"/>
        <v>Feb</v>
      </c>
    </row>
    <row r="736" spans="1:28" x14ac:dyDescent="0.35">
      <c r="A736" t="s">
        <v>784</v>
      </c>
      <c r="B736">
        <v>30</v>
      </c>
      <c r="C736" t="s">
        <v>24</v>
      </c>
      <c r="D736" t="s">
        <v>53</v>
      </c>
      <c r="E736" t="s">
        <v>17</v>
      </c>
      <c r="F736" t="s">
        <v>36</v>
      </c>
      <c r="G736" s="1">
        <v>45328</v>
      </c>
      <c r="H736" s="1">
        <v>45339</v>
      </c>
      <c r="I736" s="4">
        <v>220461</v>
      </c>
      <c r="J736" t="s">
        <v>28</v>
      </c>
      <c r="K736" t="s">
        <v>63</v>
      </c>
      <c r="L736" t="s">
        <v>46</v>
      </c>
      <c r="M736" t="s">
        <v>64</v>
      </c>
      <c r="N736">
        <v>5</v>
      </c>
      <c r="X736">
        <v>2</v>
      </c>
      <c r="AB736" t="str">
        <f t="shared" si="11"/>
        <v>Feb</v>
      </c>
    </row>
    <row r="737" spans="1:28" x14ac:dyDescent="0.35">
      <c r="A737" t="s">
        <v>785</v>
      </c>
      <c r="B737">
        <v>36</v>
      </c>
      <c r="C737" t="s">
        <v>15</v>
      </c>
      <c r="D737" t="s">
        <v>25</v>
      </c>
      <c r="E737" t="s">
        <v>17</v>
      </c>
      <c r="F737" t="s">
        <v>27</v>
      </c>
      <c r="G737" s="1">
        <v>45295</v>
      </c>
      <c r="H737" s="1">
        <v>45299</v>
      </c>
      <c r="I737" s="4">
        <v>210359</v>
      </c>
      <c r="J737" t="s">
        <v>37</v>
      </c>
      <c r="K737" t="s">
        <v>42</v>
      </c>
      <c r="L737" t="s">
        <v>33</v>
      </c>
      <c r="M737" t="s">
        <v>64</v>
      </c>
      <c r="N737">
        <v>3</v>
      </c>
      <c r="X737">
        <v>1</v>
      </c>
      <c r="AB737" t="str">
        <f t="shared" si="11"/>
        <v>Jan</v>
      </c>
    </row>
    <row r="738" spans="1:28" x14ac:dyDescent="0.35">
      <c r="A738" t="s">
        <v>786</v>
      </c>
      <c r="B738">
        <v>35</v>
      </c>
      <c r="C738" t="s">
        <v>24</v>
      </c>
      <c r="D738" t="s">
        <v>31</v>
      </c>
      <c r="E738" t="s">
        <v>26</v>
      </c>
      <c r="F738" t="s">
        <v>18</v>
      </c>
      <c r="G738" s="1">
        <v>45569</v>
      </c>
      <c r="H738" s="1">
        <v>45578</v>
      </c>
      <c r="I738" s="4">
        <v>242983</v>
      </c>
      <c r="J738" t="s">
        <v>28</v>
      </c>
      <c r="K738" t="s">
        <v>20</v>
      </c>
      <c r="L738" t="s">
        <v>21</v>
      </c>
      <c r="M738" t="s">
        <v>64</v>
      </c>
      <c r="N738">
        <v>2</v>
      </c>
      <c r="X738">
        <v>10</v>
      </c>
      <c r="AB738" t="str">
        <f t="shared" si="11"/>
        <v>Oct</v>
      </c>
    </row>
    <row r="739" spans="1:28" x14ac:dyDescent="0.35">
      <c r="A739" t="s">
        <v>787</v>
      </c>
      <c r="B739">
        <v>34</v>
      </c>
      <c r="C739" t="s">
        <v>24</v>
      </c>
      <c r="D739" t="s">
        <v>45</v>
      </c>
      <c r="E739" t="s">
        <v>35</v>
      </c>
      <c r="F739" t="s">
        <v>56</v>
      </c>
      <c r="G739" s="1">
        <v>45981</v>
      </c>
      <c r="H739" s="1">
        <v>45984</v>
      </c>
      <c r="I739" s="4">
        <v>199528</v>
      </c>
      <c r="J739" t="s">
        <v>28</v>
      </c>
      <c r="K739" t="s">
        <v>63</v>
      </c>
      <c r="L739" t="s">
        <v>43</v>
      </c>
      <c r="M739" t="s">
        <v>64</v>
      </c>
      <c r="N739">
        <v>5</v>
      </c>
      <c r="X739">
        <v>11</v>
      </c>
      <c r="AB739" t="str">
        <f t="shared" si="11"/>
        <v>Nov</v>
      </c>
    </row>
    <row r="740" spans="1:28" x14ac:dyDescent="0.35">
      <c r="A740" t="s">
        <v>788</v>
      </c>
      <c r="B740">
        <v>50</v>
      </c>
      <c r="C740" t="s">
        <v>24</v>
      </c>
      <c r="D740" t="s">
        <v>31</v>
      </c>
      <c r="E740" t="s">
        <v>51</v>
      </c>
      <c r="F740" t="s">
        <v>18</v>
      </c>
      <c r="G740" s="1">
        <v>45566</v>
      </c>
      <c r="H740" s="1">
        <v>45569</v>
      </c>
      <c r="I740" s="4">
        <v>52154</v>
      </c>
      <c r="J740" t="s">
        <v>61</v>
      </c>
      <c r="K740" t="s">
        <v>63</v>
      </c>
      <c r="L740" t="s">
        <v>33</v>
      </c>
      <c r="M740" t="s">
        <v>64</v>
      </c>
      <c r="N740">
        <v>2</v>
      </c>
      <c r="X740">
        <v>10</v>
      </c>
      <c r="AB740" t="str">
        <f t="shared" si="11"/>
        <v>Oct</v>
      </c>
    </row>
    <row r="741" spans="1:28" x14ac:dyDescent="0.35">
      <c r="A741" t="s">
        <v>789</v>
      </c>
      <c r="B741">
        <v>42</v>
      </c>
      <c r="C741" t="s">
        <v>15</v>
      </c>
      <c r="D741" t="s">
        <v>31</v>
      </c>
      <c r="E741" t="s">
        <v>40</v>
      </c>
      <c r="F741" t="s">
        <v>27</v>
      </c>
      <c r="G741" s="1">
        <v>45662</v>
      </c>
      <c r="H741" s="1">
        <v>45681</v>
      </c>
      <c r="I741" s="4">
        <v>160734</v>
      </c>
      <c r="J741" t="s">
        <v>61</v>
      </c>
      <c r="K741" t="s">
        <v>42</v>
      </c>
      <c r="L741" t="s">
        <v>21</v>
      </c>
      <c r="M741" t="s">
        <v>38</v>
      </c>
      <c r="N741">
        <v>4</v>
      </c>
      <c r="X741">
        <v>1</v>
      </c>
      <c r="AB741" t="str">
        <f t="shared" si="11"/>
        <v>Jan</v>
      </c>
    </row>
    <row r="742" spans="1:28" x14ac:dyDescent="0.35">
      <c r="A742" t="s">
        <v>790</v>
      </c>
      <c r="B742">
        <v>47</v>
      </c>
      <c r="C742" t="s">
        <v>24</v>
      </c>
      <c r="D742" t="s">
        <v>25</v>
      </c>
      <c r="E742" t="s">
        <v>32</v>
      </c>
      <c r="F742" t="s">
        <v>18</v>
      </c>
      <c r="G742" s="1">
        <v>45644</v>
      </c>
      <c r="H742" s="1">
        <v>45646</v>
      </c>
      <c r="I742" s="4">
        <v>230317</v>
      </c>
      <c r="J742" t="s">
        <v>61</v>
      </c>
      <c r="K742" t="s">
        <v>29</v>
      </c>
      <c r="L742" t="s">
        <v>48</v>
      </c>
      <c r="M742" t="s">
        <v>22</v>
      </c>
      <c r="N742">
        <v>5</v>
      </c>
      <c r="X742">
        <v>12</v>
      </c>
      <c r="AB742" t="str">
        <f t="shared" si="11"/>
        <v>Dec</v>
      </c>
    </row>
    <row r="743" spans="1:28" x14ac:dyDescent="0.35">
      <c r="A743" t="s">
        <v>791</v>
      </c>
      <c r="B743">
        <v>50</v>
      </c>
      <c r="C743" t="s">
        <v>24</v>
      </c>
      <c r="D743" t="s">
        <v>45</v>
      </c>
      <c r="E743" t="s">
        <v>35</v>
      </c>
      <c r="F743" t="s">
        <v>27</v>
      </c>
      <c r="G743" s="1">
        <v>45331</v>
      </c>
      <c r="H743" s="1">
        <v>45339</v>
      </c>
      <c r="I743" s="4">
        <v>207367</v>
      </c>
      <c r="J743" t="s">
        <v>61</v>
      </c>
      <c r="K743" t="s">
        <v>20</v>
      </c>
      <c r="L743" t="s">
        <v>46</v>
      </c>
      <c r="M743" t="s">
        <v>38</v>
      </c>
      <c r="N743">
        <v>4</v>
      </c>
      <c r="X743">
        <v>2</v>
      </c>
      <c r="AB743" t="str">
        <f t="shared" si="11"/>
        <v>Feb</v>
      </c>
    </row>
    <row r="744" spans="1:28" x14ac:dyDescent="0.35">
      <c r="A744" t="s">
        <v>792</v>
      </c>
      <c r="B744">
        <v>47</v>
      </c>
      <c r="C744" t="s">
        <v>15</v>
      </c>
      <c r="D744" t="s">
        <v>16</v>
      </c>
      <c r="E744" t="s">
        <v>17</v>
      </c>
      <c r="F744" t="s">
        <v>18</v>
      </c>
      <c r="G744" s="1">
        <v>45904</v>
      </c>
      <c r="H744" s="1">
        <v>45921</v>
      </c>
      <c r="I744" s="4">
        <v>151594</v>
      </c>
      <c r="J744" t="s">
        <v>28</v>
      </c>
      <c r="K744" t="s">
        <v>63</v>
      </c>
      <c r="L744" t="s">
        <v>43</v>
      </c>
      <c r="M744" t="s">
        <v>22</v>
      </c>
      <c r="N744">
        <v>2</v>
      </c>
      <c r="X744">
        <v>9</v>
      </c>
      <c r="AB744" t="str">
        <f t="shared" si="11"/>
        <v>Sep</v>
      </c>
    </row>
    <row r="745" spans="1:28" x14ac:dyDescent="0.35">
      <c r="A745" t="s">
        <v>793</v>
      </c>
      <c r="B745">
        <v>53</v>
      </c>
      <c r="C745" t="s">
        <v>24</v>
      </c>
      <c r="D745" t="s">
        <v>31</v>
      </c>
      <c r="E745" t="s">
        <v>51</v>
      </c>
      <c r="F745" t="s">
        <v>41</v>
      </c>
      <c r="G745" s="1">
        <v>45672</v>
      </c>
      <c r="H745" s="1">
        <v>45681</v>
      </c>
      <c r="I745" s="4">
        <v>41483</v>
      </c>
      <c r="J745" t="s">
        <v>28</v>
      </c>
      <c r="K745" t="s">
        <v>63</v>
      </c>
      <c r="L745" t="s">
        <v>46</v>
      </c>
      <c r="M745" t="s">
        <v>64</v>
      </c>
      <c r="N745">
        <v>5</v>
      </c>
      <c r="X745">
        <v>1</v>
      </c>
      <c r="AB745" t="str">
        <f t="shared" si="11"/>
        <v>Jan</v>
      </c>
    </row>
    <row r="746" spans="1:28" x14ac:dyDescent="0.35">
      <c r="A746" t="s">
        <v>794</v>
      </c>
      <c r="B746">
        <v>40</v>
      </c>
      <c r="C746" t="s">
        <v>15</v>
      </c>
      <c r="D746" t="s">
        <v>45</v>
      </c>
      <c r="E746" t="s">
        <v>17</v>
      </c>
      <c r="F746" t="s">
        <v>41</v>
      </c>
      <c r="G746" s="1">
        <v>45719</v>
      </c>
      <c r="H746" s="1">
        <v>45733</v>
      </c>
      <c r="I746" s="4">
        <v>91173</v>
      </c>
      <c r="J746" t="s">
        <v>19</v>
      </c>
      <c r="K746" t="s">
        <v>20</v>
      </c>
      <c r="L746" t="s">
        <v>43</v>
      </c>
      <c r="M746" t="s">
        <v>64</v>
      </c>
      <c r="N746">
        <v>3</v>
      </c>
      <c r="X746">
        <v>3</v>
      </c>
      <c r="AB746" t="str">
        <f t="shared" si="11"/>
        <v>Mar</v>
      </c>
    </row>
    <row r="747" spans="1:28" x14ac:dyDescent="0.35">
      <c r="A747" t="s">
        <v>795</v>
      </c>
      <c r="B747">
        <v>46</v>
      </c>
      <c r="C747" t="s">
        <v>15</v>
      </c>
      <c r="D747" t="s">
        <v>16</v>
      </c>
      <c r="E747" t="s">
        <v>17</v>
      </c>
      <c r="F747" t="s">
        <v>56</v>
      </c>
      <c r="G747" s="1">
        <v>45538</v>
      </c>
      <c r="H747" s="1">
        <v>45541</v>
      </c>
      <c r="I747" s="4">
        <v>204147</v>
      </c>
      <c r="J747" t="s">
        <v>61</v>
      </c>
      <c r="K747" t="s">
        <v>63</v>
      </c>
      <c r="L747" t="s">
        <v>48</v>
      </c>
      <c r="M747" t="s">
        <v>64</v>
      </c>
      <c r="N747">
        <v>4</v>
      </c>
      <c r="X747">
        <v>9</v>
      </c>
      <c r="AB747" t="str">
        <f t="shared" si="11"/>
        <v>Sep</v>
      </c>
    </row>
    <row r="748" spans="1:28" x14ac:dyDescent="0.35">
      <c r="A748" t="s">
        <v>796</v>
      </c>
      <c r="B748">
        <v>45</v>
      </c>
      <c r="C748" t="s">
        <v>15</v>
      </c>
      <c r="D748" t="s">
        <v>58</v>
      </c>
      <c r="E748" t="s">
        <v>35</v>
      </c>
      <c r="F748" t="s">
        <v>36</v>
      </c>
      <c r="G748" s="1">
        <v>45840</v>
      </c>
      <c r="H748" s="1">
        <v>45843</v>
      </c>
      <c r="I748" s="4">
        <v>129953</v>
      </c>
      <c r="J748" t="s">
        <v>28</v>
      </c>
      <c r="K748" t="s">
        <v>20</v>
      </c>
      <c r="L748" t="s">
        <v>33</v>
      </c>
      <c r="M748" t="s">
        <v>22</v>
      </c>
      <c r="N748">
        <v>5</v>
      </c>
      <c r="X748">
        <v>7</v>
      </c>
      <c r="AB748" t="str">
        <f t="shared" si="11"/>
        <v>Jul</v>
      </c>
    </row>
    <row r="749" spans="1:28" x14ac:dyDescent="0.35">
      <c r="A749" t="s">
        <v>797</v>
      </c>
      <c r="B749">
        <v>46</v>
      </c>
      <c r="C749" t="s">
        <v>15</v>
      </c>
      <c r="D749" t="s">
        <v>31</v>
      </c>
      <c r="E749" t="s">
        <v>26</v>
      </c>
      <c r="F749" t="s">
        <v>18</v>
      </c>
      <c r="G749" s="1">
        <v>45873</v>
      </c>
      <c r="H749" s="1">
        <v>45879</v>
      </c>
      <c r="I749" s="4">
        <v>200863</v>
      </c>
      <c r="J749" t="s">
        <v>28</v>
      </c>
      <c r="K749" t="s">
        <v>63</v>
      </c>
      <c r="L749" t="s">
        <v>21</v>
      </c>
      <c r="M749" t="s">
        <v>64</v>
      </c>
      <c r="N749">
        <v>4</v>
      </c>
      <c r="X749">
        <v>8</v>
      </c>
      <c r="AB749" t="str">
        <f t="shared" si="11"/>
        <v>Aug</v>
      </c>
    </row>
    <row r="750" spans="1:28" x14ac:dyDescent="0.35">
      <c r="A750" t="s">
        <v>798</v>
      </c>
      <c r="B750">
        <v>38</v>
      </c>
      <c r="C750" t="s">
        <v>15</v>
      </c>
      <c r="D750" t="s">
        <v>16</v>
      </c>
      <c r="E750" t="s">
        <v>17</v>
      </c>
      <c r="F750" t="s">
        <v>36</v>
      </c>
      <c r="G750" s="1">
        <v>45864</v>
      </c>
      <c r="H750" s="1">
        <v>45878</v>
      </c>
      <c r="I750" s="4">
        <v>165974</v>
      </c>
      <c r="J750" t="s">
        <v>19</v>
      </c>
      <c r="K750" t="s">
        <v>20</v>
      </c>
      <c r="L750" t="s">
        <v>48</v>
      </c>
      <c r="M750" t="s">
        <v>38</v>
      </c>
      <c r="N750">
        <v>4</v>
      </c>
      <c r="X750">
        <v>7</v>
      </c>
      <c r="AB750" t="str">
        <f t="shared" si="11"/>
        <v>Jul</v>
      </c>
    </row>
    <row r="751" spans="1:28" x14ac:dyDescent="0.35">
      <c r="A751" t="s">
        <v>799</v>
      </c>
      <c r="B751">
        <v>82</v>
      </c>
      <c r="C751" t="s">
        <v>24</v>
      </c>
      <c r="D751" t="s">
        <v>58</v>
      </c>
      <c r="E751" t="s">
        <v>51</v>
      </c>
      <c r="F751" t="s">
        <v>18</v>
      </c>
      <c r="G751" s="1">
        <v>45943</v>
      </c>
      <c r="H751" s="1">
        <v>45957</v>
      </c>
      <c r="I751" s="4">
        <v>163166</v>
      </c>
      <c r="J751" t="s">
        <v>37</v>
      </c>
      <c r="K751" t="s">
        <v>20</v>
      </c>
      <c r="L751" t="s">
        <v>33</v>
      </c>
      <c r="M751" t="s">
        <v>22</v>
      </c>
      <c r="N751">
        <v>3</v>
      </c>
      <c r="X751">
        <v>10</v>
      </c>
      <c r="AB751" t="str">
        <f t="shared" si="11"/>
        <v>Oct</v>
      </c>
    </row>
    <row r="752" spans="1:28" x14ac:dyDescent="0.35">
      <c r="A752" t="s">
        <v>800</v>
      </c>
      <c r="B752">
        <v>27</v>
      </c>
      <c r="C752" t="s">
        <v>15</v>
      </c>
      <c r="D752" t="s">
        <v>16</v>
      </c>
      <c r="E752" t="s">
        <v>40</v>
      </c>
      <c r="F752" t="s">
        <v>36</v>
      </c>
      <c r="G752" s="1">
        <v>45930</v>
      </c>
      <c r="H752" s="1">
        <v>45942</v>
      </c>
      <c r="I752" s="4">
        <v>55544</v>
      </c>
      <c r="J752" t="s">
        <v>19</v>
      </c>
      <c r="K752" t="s">
        <v>63</v>
      </c>
      <c r="L752" t="s">
        <v>21</v>
      </c>
      <c r="M752" t="s">
        <v>64</v>
      </c>
      <c r="N752">
        <v>2</v>
      </c>
      <c r="X752">
        <v>9</v>
      </c>
      <c r="AB752" t="str">
        <f t="shared" si="11"/>
        <v>Sep</v>
      </c>
    </row>
    <row r="753" spans="1:28" x14ac:dyDescent="0.35">
      <c r="A753" t="s">
        <v>801</v>
      </c>
      <c r="B753">
        <v>81</v>
      </c>
      <c r="C753" t="s">
        <v>15</v>
      </c>
      <c r="D753" t="s">
        <v>16</v>
      </c>
      <c r="E753" t="s">
        <v>40</v>
      </c>
      <c r="F753" t="s">
        <v>27</v>
      </c>
      <c r="G753" s="1">
        <v>45343</v>
      </c>
      <c r="H753" s="1">
        <v>45356</v>
      </c>
      <c r="I753" s="4">
        <v>64997</v>
      </c>
      <c r="J753" t="s">
        <v>28</v>
      </c>
      <c r="K753" t="s">
        <v>63</v>
      </c>
      <c r="L753" t="s">
        <v>43</v>
      </c>
      <c r="M753" t="s">
        <v>22</v>
      </c>
      <c r="N753">
        <v>2</v>
      </c>
      <c r="X753">
        <v>2</v>
      </c>
      <c r="AB753" t="str">
        <f t="shared" si="11"/>
        <v>Feb</v>
      </c>
    </row>
    <row r="754" spans="1:28" x14ac:dyDescent="0.35">
      <c r="A754" t="s">
        <v>802</v>
      </c>
      <c r="B754">
        <v>62</v>
      </c>
      <c r="C754" t="s">
        <v>15</v>
      </c>
      <c r="D754" t="s">
        <v>58</v>
      </c>
      <c r="E754" t="s">
        <v>51</v>
      </c>
      <c r="F754" t="s">
        <v>18</v>
      </c>
      <c r="G754" s="1">
        <v>45763</v>
      </c>
      <c r="H754" s="1">
        <v>45773</v>
      </c>
      <c r="I754" s="4">
        <v>143188</v>
      </c>
      <c r="J754" t="s">
        <v>19</v>
      </c>
      <c r="K754" t="s">
        <v>29</v>
      </c>
      <c r="L754" t="s">
        <v>33</v>
      </c>
      <c r="M754" t="s">
        <v>38</v>
      </c>
      <c r="N754">
        <v>1</v>
      </c>
      <c r="X754">
        <v>4</v>
      </c>
      <c r="AB754" t="str">
        <f t="shared" si="11"/>
        <v>Apr</v>
      </c>
    </row>
    <row r="755" spans="1:28" x14ac:dyDescent="0.35">
      <c r="A755" t="s">
        <v>803</v>
      </c>
      <c r="B755">
        <v>71</v>
      </c>
      <c r="C755" t="s">
        <v>15</v>
      </c>
      <c r="D755" t="s">
        <v>50</v>
      </c>
      <c r="E755" t="s">
        <v>17</v>
      </c>
      <c r="F755" t="s">
        <v>56</v>
      </c>
      <c r="G755" s="1">
        <v>45560</v>
      </c>
      <c r="H755" s="1">
        <v>45579</v>
      </c>
      <c r="I755" s="4">
        <v>192267</v>
      </c>
      <c r="J755" t="s">
        <v>61</v>
      </c>
      <c r="K755" t="s">
        <v>63</v>
      </c>
      <c r="L755" t="s">
        <v>33</v>
      </c>
      <c r="M755" t="s">
        <v>38</v>
      </c>
      <c r="N755">
        <v>2</v>
      </c>
      <c r="X755">
        <v>9</v>
      </c>
      <c r="AB755" t="str">
        <f t="shared" si="11"/>
        <v>Sep</v>
      </c>
    </row>
    <row r="756" spans="1:28" x14ac:dyDescent="0.35">
      <c r="A756" t="s">
        <v>804</v>
      </c>
      <c r="B756">
        <v>57</v>
      </c>
      <c r="C756" t="s">
        <v>15</v>
      </c>
      <c r="D756" t="s">
        <v>16</v>
      </c>
      <c r="E756" t="s">
        <v>32</v>
      </c>
      <c r="F756" t="s">
        <v>27</v>
      </c>
      <c r="G756" s="1">
        <v>45512</v>
      </c>
      <c r="H756" s="1">
        <v>45514</v>
      </c>
      <c r="I756" s="4">
        <v>199818</v>
      </c>
      <c r="J756" t="s">
        <v>37</v>
      </c>
      <c r="K756" t="s">
        <v>63</v>
      </c>
      <c r="L756" t="s">
        <v>48</v>
      </c>
      <c r="M756" t="s">
        <v>64</v>
      </c>
      <c r="N756">
        <v>4</v>
      </c>
      <c r="X756">
        <v>8</v>
      </c>
      <c r="AB756" t="str">
        <f t="shared" si="11"/>
        <v>Aug</v>
      </c>
    </row>
    <row r="757" spans="1:28" x14ac:dyDescent="0.35">
      <c r="A757" t="s">
        <v>805</v>
      </c>
      <c r="B757">
        <v>80</v>
      </c>
      <c r="C757" t="s">
        <v>24</v>
      </c>
      <c r="D757" t="s">
        <v>50</v>
      </c>
      <c r="E757" t="s">
        <v>51</v>
      </c>
      <c r="F757" t="s">
        <v>41</v>
      </c>
      <c r="G757" s="1">
        <v>45374</v>
      </c>
      <c r="H757" s="1">
        <v>45382</v>
      </c>
      <c r="I757" s="4">
        <v>48641</v>
      </c>
      <c r="J757" t="s">
        <v>19</v>
      </c>
      <c r="K757" t="s">
        <v>29</v>
      </c>
      <c r="L757" t="s">
        <v>33</v>
      </c>
      <c r="M757" t="s">
        <v>38</v>
      </c>
      <c r="N757">
        <v>2</v>
      </c>
      <c r="X757">
        <v>3</v>
      </c>
      <c r="AB757" t="str">
        <f t="shared" si="11"/>
        <v>Mar</v>
      </c>
    </row>
    <row r="758" spans="1:28" x14ac:dyDescent="0.35">
      <c r="A758" t="s">
        <v>806</v>
      </c>
      <c r="B758">
        <v>23</v>
      </c>
      <c r="C758" t="s">
        <v>15</v>
      </c>
      <c r="D758" t="s">
        <v>16</v>
      </c>
      <c r="E758" t="s">
        <v>51</v>
      </c>
      <c r="F758" t="s">
        <v>41</v>
      </c>
      <c r="G758" s="1">
        <v>45684</v>
      </c>
      <c r="H758" s="1">
        <v>45704</v>
      </c>
      <c r="I758" s="4">
        <v>127831</v>
      </c>
      <c r="J758" t="s">
        <v>61</v>
      </c>
      <c r="K758" t="s">
        <v>63</v>
      </c>
      <c r="L758" t="s">
        <v>33</v>
      </c>
      <c r="M758" t="s">
        <v>38</v>
      </c>
      <c r="N758">
        <v>1</v>
      </c>
      <c r="X758">
        <v>1</v>
      </c>
      <c r="AB758" t="str">
        <f t="shared" si="11"/>
        <v>Jan</v>
      </c>
    </row>
    <row r="759" spans="1:28" x14ac:dyDescent="0.35">
      <c r="A759" t="s">
        <v>807</v>
      </c>
      <c r="B759">
        <v>31</v>
      </c>
      <c r="C759" t="s">
        <v>24</v>
      </c>
      <c r="D759" t="s">
        <v>25</v>
      </c>
      <c r="E759" t="s">
        <v>40</v>
      </c>
      <c r="F759" t="s">
        <v>56</v>
      </c>
      <c r="G759" s="1">
        <v>45891</v>
      </c>
      <c r="H759" s="1">
        <v>45902</v>
      </c>
      <c r="I759" s="4">
        <v>174278</v>
      </c>
      <c r="J759" t="s">
        <v>28</v>
      </c>
      <c r="K759" t="s">
        <v>63</v>
      </c>
      <c r="L759" t="s">
        <v>21</v>
      </c>
      <c r="M759" t="s">
        <v>22</v>
      </c>
      <c r="N759">
        <v>5</v>
      </c>
      <c r="X759">
        <v>8</v>
      </c>
      <c r="AB759" t="str">
        <f t="shared" si="11"/>
        <v>Aug</v>
      </c>
    </row>
    <row r="760" spans="1:28" x14ac:dyDescent="0.35">
      <c r="A760" t="s">
        <v>808</v>
      </c>
      <c r="B760">
        <v>69</v>
      </c>
      <c r="C760" t="s">
        <v>24</v>
      </c>
      <c r="D760" t="s">
        <v>50</v>
      </c>
      <c r="E760" t="s">
        <v>32</v>
      </c>
      <c r="F760" t="s">
        <v>56</v>
      </c>
      <c r="G760" s="1">
        <v>45749</v>
      </c>
      <c r="H760" s="1">
        <v>45755</v>
      </c>
      <c r="I760" s="4">
        <v>39361</v>
      </c>
      <c r="J760" t="s">
        <v>28</v>
      </c>
      <c r="K760" t="s">
        <v>29</v>
      </c>
      <c r="L760" t="s">
        <v>48</v>
      </c>
      <c r="M760" t="s">
        <v>64</v>
      </c>
      <c r="N760">
        <v>5</v>
      </c>
      <c r="X760">
        <v>4</v>
      </c>
      <c r="AB760" t="str">
        <f t="shared" si="11"/>
        <v>Apr</v>
      </c>
    </row>
    <row r="761" spans="1:28" x14ac:dyDescent="0.35">
      <c r="A761" t="s">
        <v>809</v>
      </c>
      <c r="B761">
        <v>66</v>
      </c>
      <c r="C761" t="s">
        <v>24</v>
      </c>
      <c r="D761" t="s">
        <v>45</v>
      </c>
      <c r="E761" t="s">
        <v>32</v>
      </c>
      <c r="F761" t="s">
        <v>56</v>
      </c>
      <c r="G761" s="1">
        <v>45944</v>
      </c>
      <c r="H761" s="1">
        <v>45964</v>
      </c>
      <c r="I761" s="4">
        <v>145685</v>
      </c>
      <c r="J761" t="s">
        <v>37</v>
      </c>
      <c r="K761" t="s">
        <v>42</v>
      </c>
      <c r="L761" t="s">
        <v>43</v>
      </c>
      <c r="M761" t="s">
        <v>22</v>
      </c>
      <c r="N761">
        <v>4</v>
      </c>
      <c r="X761">
        <v>10</v>
      </c>
      <c r="AB761" t="str">
        <f t="shared" si="11"/>
        <v>Oct</v>
      </c>
    </row>
    <row r="762" spans="1:28" x14ac:dyDescent="0.35">
      <c r="A762" t="s">
        <v>810</v>
      </c>
      <c r="B762">
        <v>47</v>
      </c>
      <c r="C762" t="s">
        <v>15</v>
      </c>
      <c r="D762" t="s">
        <v>53</v>
      </c>
      <c r="E762" t="s">
        <v>32</v>
      </c>
      <c r="F762" t="s">
        <v>18</v>
      </c>
      <c r="G762" s="1">
        <v>45851</v>
      </c>
      <c r="H762" s="1">
        <v>45854</v>
      </c>
      <c r="I762" s="4">
        <v>237160</v>
      </c>
      <c r="J762" t="s">
        <v>19</v>
      </c>
      <c r="K762" t="s">
        <v>29</v>
      </c>
      <c r="L762" t="s">
        <v>33</v>
      </c>
      <c r="M762" t="s">
        <v>38</v>
      </c>
      <c r="N762">
        <v>2</v>
      </c>
      <c r="X762">
        <v>7</v>
      </c>
      <c r="AB762" t="str">
        <f t="shared" si="11"/>
        <v>Jul</v>
      </c>
    </row>
    <row r="763" spans="1:28" x14ac:dyDescent="0.35">
      <c r="A763" t="s">
        <v>811</v>
      </c>
      <c r="B763">
        <v>38</v>
      </c>
      <c r="C763" t="s">
        <v>24</v>
      </c>
      <c r="D763" t="s">
        <v>58</v>
      </c>
      <c r="E763" t="s">
        <v>26</v>
      </c>
      <c r="F763" t="s">
        <v>56</v>
      </c>
      <c r="G763" s="1">
        <v>45472</v>
      </c>
      <c r="H763" s="1">
        <v>45488</v>
      </c>
      <c r="I763" s="4">
        <v>56705</v>
      </c>
      <c r="J763" t="s">
        <v>37</v>
      </c>
      <c r="K763" t="s">
        <v>63</v>
      </c>
      <c r="L763" t="s">
        <v>33</v>
      </c>
      <c r="M763" t="s">
        <v>38</v>
      </c>
      <c r="N763">
        <v>2</v>
      </c>
      <c r="X763">
        <v>6</v>
      </c>
      <c r="AB763" t="str">
        <f t="shared" si="11"/>
        <v>Jun</v>
      </c>
    </row>
    <row r="764" spans="1:28" x14ac:dyDescent="0.35">
      <c r="A764" t="s">
        <v>812</v>
      </c>
      <c r="B764">
        <v>45</v>
      </c>
      <c r="C764" t="s">
        <v>15</v>
      </c>
      <c r="D764" t="s">
        <v>25</v>
      </c>
      <c r="E764" t="s">
        <v>17</v>
      </c>
      <c r="F764" t="s">
        <v>27</v>
      </c>
      <c r="G764" s="1">
        <v>45474</v>
      </c>
      <c r="H764" s="1">
        <v>45494</v>
      </c>
      <c r="I764" s="4">
        <v>171434</v>
      </c>
      <c r="J764" t="s">
        <v>19</v>
      </c>
      <c r="K764" t="s">
        <v>20</v>
      </c>
      <c r="L764" t="s">
        <v>21</v>
      </c>
      <c r="M764" t="s">
        <v>64</v>
      </c>
      <c r="N764">
        <v>5</v>
      </c>
      <c r="X764">
        <v>7</v>
      </c>
      <c r="AB764" t="str">
        <f t="shared" si="11"/>
        <v>Jul</v>
      </c>
    </row>
    <row r="765" spans="1:28" x14ac:dyDescent="0.35">
      <c r="A765" t="s">
        <v>813</v>
      </c>
      <c r="B765">
        <v>74</v>
      </c>
      <c r="C765" t="s">
        <v>24</v>
      </c>
      <c r="D765" t="s">
        <v>58</v>
      </c>
      <c r="E765" t="s">
        <v>35</v>
      </c>
      <c r="F765" t="s">
        <v>56</v>
      </c>
      <c r="G765" s="1">
        <v>45822</v>
      </c>
      <c r="H765" s="1">
        <v>45840</v>
      </c>
      <c r="I765" s="4">
        <v>215324</v>
      </c>
      <c r="J765" t="s">
        <v>61</v>
      </c>
      <c r="K765" t="s">
        <v>20</v>
      </c>
      <c r="L765" t="s">
        <v>43</v>
      </c>
      <c r="M765" t="s">
        <v>38</v>
      </c>
      <c r="N765">
        <v>4</v>
      </c>
      <c r="X765">
        <v>6</v>
      </c>
      <c r="AB765" t="str">
        <f t="shared" si="11"/>
        <v>Jun</v>
      </c>
    </row>
    <row r="766" spans="1:28" x14ac:dyDescent="0.35">
      <c r="A766" t="s">
        <v>814</v>
      </c>
      <c r="B766">
        <v>75</v>
      </c>
      <c r="C766" t="s">
        <v>15</v>
      </c>
      <c r="D766" t="s">
        <v>31</v>
      </c>
      <c r="E766" t="s">
        <v>26</v>
      </c>
      <c r="F766" t="s">
        <v>36</v>
      </c>
      <c r="G766" s="1">
        <v>45529</v>
      </c>
      <c r="H766" s="1">
        <v>45543</v>
      </c>
      <c r="I766" s="4">
        <v>184715</v>
      </c>
      <c r="J766" t="s">
        <v>19</v>
      </c>
      <c r="K766" t="s">
        <v>20</v>
      </c>
      <c r="L766" t="s">
        <v>48</v>
      </c>
      <c r="M766" t="s">
        <v>38</v>
      </c>
      <c r="N766">
        <v>1</v>
      </c>
      <c r="X766">
        <v>8</v>
      </c>
      <c r="AB766" t="str">
        <f t="shared" si="11"/>
        <v>Aug</v>
      </c>
    </row>
    <row r="767" spans="1:28" x14ac:dyDescent="0.35">
      <c r="A767" t="s">
        <v>815</v>
      </c>
      <c r="B767">
        <v>43</v>
      </c>
      <c r="C767" t="s">
        <v>15</v>
      </c>
      <c r="D767" t="s">
        <v>25</v>
      </c>
      <c r="E767" t="s">
        <v>17</v>
      </c>
      <c r="F767" t="s">
        <v>27</v>
      </c>
      <c r="G767" s="1">
        <v>45723</v>
      </c>
      <c r="H767" s="1">
        <v>45734</v>
      </c>
      <c r="I767" s="4">
        <v>56753</v>
      </c>
      <c r="J767" t="s">
        <v>28</v>
      </c>
      <c r="K767" t="s">
        <v>20</v>
      </c>
      <c r="L767" t="s">
        <v>48</v>
      </c>
      <c r="M767" t="s">
        <v>38</v>
      </c>
      <c r="N767">
        <v>1</v>
      </c>
      <c r="X767">
        <v>3</v>
      </c>
      <c r="AB767" t="str">
        <f t="shared" si="11"/>
        <v>Mar</v>
      </c>
    </row>
    <row r="768" spans="1:28" x14ac:dyDescent="0.35">
      <c r="A768" t="s">
        <v>816</v>
      </c>
      <c r="B768">
        <v>82</v>
      </c>
      <c r="C768" t="s">
        <v>15</v>
      </c>
      <c r="D768" t="s">
        <v>45</v>
      </c>
      <c r="E768" t="s">
        <v>35</v>
      </c>
      <c r="F768" t="s">
        <v>27</v>
      </c>
      <c r="G768" s="1">
        <v>45773</v>
      </c>
      <c r="H768" s="1">
        <v>45781</v>
      </c>
      <c r="I768" s="4">
        <v>143513</v>
      </c>
      <c r="J768" t="s">
        <v>19</v>
      </c>
      <c r="K768" t="s">
        <v>29</v>
      </c>
      <c r="L768" t="s">
        <v>33</v>
      </c>
      <c r="M768" t="s">
        <v>22</v>
      </c>
      <c r="N768">
        <v>1</v>
      </c>
      <c r="X768">
        <v>4</v>
      </c>
      <c r="AB768" t="str">
        <f t="shared" si="11"/>
        <v>Apr</v>
      </c>
    </row>
    <row r="769" spans="1:28" x14ac:dyDescent="0.35">
      <c r="A769" t="s">
        <v>817</v>
      </c>
      <c r="B769">
        <v>80</v>
      </c>
      <c r="C769" t="s">
        <v>24</v>
      </c>
      <c r="D769" t="s">
        <v>58</v>
      </c>
      <c r="E769" t="s">
        <v>40</v>
      </c>
      <c r="F769" t="s">
        <v>36</v>
      </c>
      <c r="G769" s="1">
        <v>45327</v>
      </c>
      <c r="H769" s="1">
        <v>45338</v>
      </c>
      <c r="I769" s="4">
        <v>20996</v>
      </c>
      <c r="J769" t="s">
        <v>37</v>
      </c>
      <c r="K769" t="s">
        <v>63</v>
      </c>
      <c r="L769" t="s">
        <v>48</v>
      </c>
      <c r="M769" t="s">
        <v>38</v>
      </c>
      <c r="N769">
        <v>1</v>
      </c>
      <c r="X769">
        <v>2</v>
      </c>
      <c r="AB769" t="str">
        <f t="shared" si="11"/>
        <v>Feb</v>
      </c>
    </row>
    <row r="770" spans="1:28" x14ac:dyDescent="0.35">
      <c r="A770" t="s">
        <v>818</v>
      </c>
      <c r="B770">
        <v>74</v>
      </c>
      <c r="C770" t="s">
        <v>15</v>
      </c>
      <c r="D770" t="s">
        <v>58</v>
      </c>
      <c r="E770" t="s">
        <v>32</v>
      </c>
      <c r="F770" t="s">
        <v>18</v>
      </c>
      <c r="G770" s="1">
        <v>45940</v>
      </c>
      <c r="H770" s="1">
        <v>45952</v>
      </c>
      <c r="I770" s="4">
        <v>105797</v>
      </c>
      <c r="J770" t="s">
        <v>19</v>
      </c>
      <c r="K770" t="s">
        <v>20</v>
      </c>
      <c r="L770" t="s">
        <v>43</v>
      </c>
      <c r="M770" t="s">
        <v>22</v>
      </c>
      <c r="N770">
        <v>2</v>
      </c>
      <c r="X770">
        <v>10</v>
      </c>
      <c r="AB770" t="str">
        <f t="shared" si="11"/>
        <v>Oct</v>
      </c>
    </row>
    <row r="771" spans="1:28" x14ac:dyDescent="0.35">
      <c r="A771" t="s">
        <v>819</v>
      </c>
      <c r="B771">
        <v>83</v>
      </c>
      <c r="C771" t="s">
        <v>15</v>
      </c>
      <c r="D771" t="s">
        <v>25</v>
      </c>
      <c r="E771" t="s">
        <v>32</v>
      </c>
      <c r="F771" t="s">
        <v>18</v>
      </c>
      <c r="G771" s="1">
        <v>45600</v>
      </c>
      <c r="H771" s="1">
        <v>45610</v>
      </c>
      <c r="I771" s="4">
        <v>31164</v>
      </c>
      <c r="J771" t="s">
        <v>28</v>
      </c>
      <c r="K771" t="s">
        <v>42</v>
      </c>
      <c r="L771" t="s">
        <v>43</v>
      </c>
      <c r="M771" t="s">
        <v>64</v>
      </c>
      <c r="N771">
        <v>2</v>
      </c>
      <c r="X771">
        <v>11</v>
      </c>
      <c r="AB771" t="str">
        <f t="shared" ref="AB771:AB834" si="12">TEXT(G771,"mmm")</f>
        <v>Nov</v>
      </c>
    </row>
    <row r="772" spans="1:28" x14ac:dyDescent="0.35">
      <c r="A772" t="s">
        <v>820</v>
      </c>
      <c r="B772">
        <v>63</v>
      </c>
      <c r="C772" t="s">
        <v>24</v>
      </c>
      <c r="D772" t="s">
        <v>31</v>
      </c>
      <c r="E772" t="s">
        <v>35</v>
      </c>
      <c r="F772" t="s">
        <v>18</v>
      </c>
      <c r="G772" s="1">
        <v>45303</v>
      </c>
      <c r="H772" s="1">
        <v>45317</v>
      </c>
      <c r="I772" s="4">
        <v>200861</v>
      </c>
      <c r="J772" t="s">
        <v>37</v>
      </c>
      <c r="K772" t="s">
        <v>63</v>
      </c>
      <c r="L772" t="s">
        <v>43</v>
      </c>
      <c r="M772" t="s">
        <v>38</v>
      </c>
      <c r="N772">
        <v>2</v>
      </c>
      <c r="X772">
        <v>1</v>
      </c>
      <c r="AB772" t="str">
        <f t="shared" si="12"/>
        <v>Jan</v>
      </c>
    </row>
    <row r="773" spans="1:28" x14ac:dyDescent="0.35">
      <c r="A773" t="s">
        <v>821</v>
      </c>
      <c r="B773">
        <v>48</v>
      </c>
      <c r="C773" t="s">
        <v>15</v>
      </c>
      <c r="D773" t="s">
        <v>16</v>
      </c>
      <c r="E773" t="s">
        <v>17</v>
      </c>
      <c r="F773" t="s">
        <v>41</v>
      </c>
      <c r="G773" s="1">
        <v>45770</v>
      </c>
      <c r="H773" s="1">
        <v>45777</v>
      </c>
      <c r="I773" s="4">
        <v>64534</v>
      </c>
      <c r="J773" t="s">
        <v>37</v>
      </c>
      <c r="K773" t="s">
        <v>63</v>
      </c>
      <c r="L773" t="s">
        <v>21</v>
      </c>
      <c r="M773" t="s">
        <v>38</v>
      </c>
      <c r="N773">
        <v>5</v>
      </c>
      <c r="X773">
        <v>4</v>
      </c>
      <c r="AB773" t="str">
        <f t="shared" si="12"/>
        <v>Apr</v>
      </c>
    </row>
    <row r="774" spans="1:28" x14ac:dyDescent="0.35">
      <c r="A774" t="s">
        <v>822</v>
      </c>
      <c r="B774">
        <v>32</v>
      </c>
      <c r="C774" t="s">
        <v>15</v>
      </c>
      <c r="D774" t="s">
        <v>58</v>
      </c>
      <c r="E774" t="s">
        <v>17</v>
      </c>
      <c r="F774" t="s">
        <v>56</v>
      </c>
      <c r="G774" s="1">
        <v>45670</v>
      </c>
      <c r="H774" s="1">
        <v>45675</v>
      </c>
      <c r="I774" s="4">
        <v>228621</v>
      </c>
      <c r="J774" t="s">
        <v>19</v>
      </c>
      <c r="K774" t="s">
        <v>29</v>
      </c>
      <c r="L774" t="s">
        <v>21</v>
      </c>
      <c r="M774" t="s">
        <v>38</v>
      </c>
      <c r="N774">
        <v>5</v>
      </c>
      <c r="X774">
        <v>1</v>
      </c>
      <c r="AB774" t="str">
        <f t="shared" si="12"/>
        <v>Jan</v>
      </c>
    </row>
    <row r="775" spans="1:28" x14ac:dyDescent="0.35">
      <c r="A775" t="s">
        <v>823</v>
      </c>
      <c r="B775">
        <v>43</v>
      </c>
      <c r="C775" t="s">
        <v>15</v>
      </c>
      <c r="D775" t="s">
        <v>31</v>
      </c>
      <c r="E775" t="s">
        <v>17</v>
      </c>
      <c r="F775" t="s">
        <v>41</v>
      </c>
      <c r="G775" s="1">
        <v>45892</v>
      </c>
      <c r="H775" s="1">
        <v>45897</v>
      </c>
      <c r="I775" s="4">
        <v>5466</v>
      </c>
      <c r="J775" t="s">
        <v>28</v>
      </c>
      <c r="K775" t="s">
        <v>20</v>
      </c>
      <c r="L775" t="s">
        <v>46</v>
      </c>
      <c r="M775" t="s">
        <v>64</v>
      </c>
      <c r="N775">
        <v>3</v>
      </c>
      <c r="X775">
        <v>8</v>
      </c>
      <c r="AB775" t="str">
        <f t="shared" si="12"/>
        <v>Aug</v>
      </c>
    </row>
    <row r="776" spans="1:28" x14ac:dyDescent="0.35">
      <c r="A776" t="s">
        <v>824</v>
      </c>
      <c r="B776">
        <v>78</v>
      </c>
      <c r="C776" t="s">
        <v>15</v>
      </c>
      <c r="D776" t="s">
        <v>58</v>
      </c>
      <c r="E776" t="s">
        <v>35</v>
      </c>
      <c r="F776" t="s">
        <v>18</v>
      </c>
      <c r="G776" s="1">
        <v>45434</v>
      </c>
      <c r="H776" s="1">
        <v>45437</v>
      </c>
      <c r="I776" s="4">
        <v>11285</v>
      </c>
      <c r="J776" t="s">
        <v>19</v>
      </c>
      <c r="K776" t="s">
        <v>42</v>
      </c>
      <c r="L776" t="s">
        <v>46</v>
      </c>
      <c r="M776" t="s">
        <v>22</v>
      </c>
      <c r="N776">
        <v>5</v>
      </c>
      <c r="X776">
        <v>5</v>
      </c>
      <c r="AB776" t="str">
        <f t="shared" si="12"/>
        <v>May</v>
      </c>
    </row>
    <row r="777" spans="1:28" x14ac:dyDescent="0.35">
      <c r="A777" t="s">
        <v>825</v>
      </c>
      <c r="B777">
        <v>22</v>
      </c>
      <c r="C777" t="s">
        <v>24</v>
      </c>
      <c r="D777" t="s">
        <v>16</v>
      </c>
      <c r="E777" t="s">
        <v>32</v>
      </c>
      <c r="F777" t="s">
        <v>41</v>
      </c>
      <c r="G777" s="1">
        <v>45458</v>
      </c>
      <c r="H777" s="1">
        <v>45462</v>
      </c>
      <c r="I777" s="4">
        <v>89111</v>
      </c>
      <c r="J777" t="s">
        <v>61</v>
      </c>
      <c r="K777" t="s">
        <v>29</v>
      </c>
      <c r="L777" t="s">
        <v>48</v>
      </c>
      <c r="M777" t="s">
        <v>22</v>
      </c>
      <c r="N777">
        <v>2</v>
      </c>
      <c r="X777">
        <v>6</v>
      </c>
      <c r="AB777" t="str">
        <f t="shared" si="12"/>
        <v>Jun</v>
      </c>
    </row>
    <row r="778" spans="1:28" x14ac:dyDescent="0.35">
      <c r="A778" t="s">
        <v>826</v>
      </c>
      <c r="B778">
        <v>57</v>
      </c>
      <c r="C778" t="s">
        <v>24</v>
      </c>
      <c r="D778" t="s">
        <v>16</v>
      </c>
      <c r="E778" t="s">
        <v>26</v>
      </c>
      <c r="F778" t="s">
        <v>41</v>
      </c>
      <c r="G778" s="1">
        <v>45466</v>
      </c>
      <c r="H778" s="1">
        <v>45472</v>
      </c>
      <c r="I778" s="4">
        <v>72602</v>
      </c>
      <c r="J778" t="s">
        <v>19</v>
      </c>
      <c r="K778" t="s">
        <v>63</v>
      </c>
      <c r="L778" t="s">
        <v>33</v>
      </c>
      <c r="M778" t="s">
        <v>22</v>
      </c>
      <c r="N778">
        <v>2</v>
      </c>
      <c r="X778">
        <v>6</v>
      </c>
      <c r="AB778" t="str">
        <f t="shared" si="12"/>
        <v>Jun</v>
      </c>
    </row>
    <row r="779" spans="1:28" x14ac:dyDescent="0.35">
      <c r="A779" t="s">
        <v>827</v>
      </c>
      <c r="B779">
        <v>44</v>
      </c>
      <c r="C779" t="s">
        <v>15</v>
      </c>
      <c r="D779" t="s">
        <v>53</v>
      </c>
      <c r="E779" t="s">
        <v>51</v>
      </c>
      <c r="F779" t="s">
        <v>56</v>
      </c>
      <c r="G779" s="1">
        <v>45345</v>
      </c>
      <c r="H779" s="1">
        <v>45347</v>
      </c>
      <c r="I779" s="4">
        <v>80847</v>
      </c>
      <c r="J779" t="s">
        <v>19</v>
      </c>
      <c r="K779" t="s">
        <v>20</v>
      </c>
      <c r="L779" t="s">
        <v>21</v>
      </c>
      <c r="M779" t="s">
        <v>38</v>
      </c>
      <c r="N779">
        <v>3</v>
      </c>
      <c r="X779">
        <v>2</v>
      </c>
      <c r="AB779" t="str">
        <f t="shared" si="12"/>
        <v>Feb</v>
      </c>
    </row>
    <row r="780" spans="1:28" x14ac:dyDescent="0.35">
      <c r="A780" t="s">
        <v>828</v>
      </c>
      <c r="B780">
        <v>33</v>
      </c>
      <c r="C780" t="s">
        <v>15</v>
      </c>
      <c r="D780" t="s">
        <v>45</v>
      </c>
      <c r="E780" t="s">
        <v>40</v>
      </c>
      <c r="F780" t="s">
        <v>18</v>
      </c>
      <c r="G780" s="1">
        <v>45699</v>
      </c>
      <c r="H780" s="1">
        <v>45714</v>
      </c>
      <c r="I780" s="4">
        <v>42913</v>
      </c>
      <c r="J780" t="s">
        <v>19</v>
      </c>
      <c r="K780" t="s">
        <v>63</v>
      </c>
      <c r="L780" t="s">
        <v>33</v>
      </c>
      <c r="M780" t="s">
        <v>38</v>
      </c>
      <c r="N780">
        <v>2</v>
      </c>
      <c r="X780">
        <v>2</v>
      </c>
      <c r="AB780" t="str">
        <f t="shared" si="12"/>
        <v>Feb</v>
      </c>
    </row>
    <row r="781" spans="1:28" x14ac:dyDescent="0.35">
      <c r="A781" t="s">
        <v>829</v>
      </c>
      <c r="B781">
        <v>40</v>
      </c>
      <c r="C781" t="s">
        <v>15</v>
      </c>
      <c r="D781" t="s">
        <v>25</v>
      </c>
      <c r="E781" t="s">
        <v>32</v>
      </c>
      <c r="F781" t="s">
        <v>56</v>
      </c>
      <c r="G781" s="1">
        <v>45648</v>
      </c>
      <c r="H781" s="1">
        <v>45665</v>
      </c>
      <c r="I781" s="4">
        <v>35790</v>
      </c>
      <c r="J781" t="s">
        <v>37</v>
      </c>
      <c r="K781" t="s">
        <v>63</v>
      </c>
      <c r="L781" t="s">
        <v>43</v>
      </c>
      <c r="M781" t="s">
        <v>22</v>
      </c>
      <c r="N781">
        <v>2</v>
      </c>
      <c r="X781">
        <v>12</v>
      </c>
      <c r="AB781" t="str">
        <f t="shared" si="12"/>
        <v>Dec</v>
      </c>
    </row>
    <row r="782" spans="1:28" x14ac:dyDescent="0.35">
      <c r="A782" t="s">
        <v>830</v>
      </c>
      <c r="B782">
        <v>29</v>
      </c>
      <c r="C782" t="s">
        <v>15</v>
      </c>
      <c r="D782" t="s">
        <v>58</v>
      </c>
      <c r="E782" t="s">
        <v>17</v>
      </c>
      <c r="F782" t="s">
        <v>27</v>
      </c>
      <c r="G782" s="1">
        <v>45991</v>
      </c>
      <c r="H782" s="1">
        <v>45996</v>
      </c>
      <c r="I782" s="4">
        <v>34814</v>
      </c>
      <c r="J782" t="s">
        <v>28</v>
      </c>
      <c r="K782" t="s">
        <v>29</v>
      </c>
      <c r="L782" t="s">
        <v>48</v>
      </c>
      <c r="M782" t="s">
        <v>64</v>
      </c>
      <c r="N782">
        <v>2</v>
      </c>
      <c r="X782">
        <v>11</v>
      </c>
      <c r="AB782" t="str">
        <f t="shared" si="12"/>
        <v>Nov</v>
      </c>
    </row>
    <row r="783" spans="1:28" x14ac:dyDescent="0.35">
      <c r="A783" t="s">
        <v>831</v>
      </c>
      <c r="B783">
        <v>45</v>
      </c>
      <c r="C783" t="s">
        <v>15</v>
      </c>
      <c r="D783" t="s">
        <v>50</v>
      </c>
      <c r="E783" t="s">
        <v>26</v>
      </c>
      <c r="F783" t="s">
        <v>56</v>
      </c>
      <c r="G783" s="1">
        <v>45454</v>
      </c>
      <c r="H783" s="1">
        <v>45459</v>
      </c>
      <c r="I783" s="4">
        <v>113820</v>
      </c>
      <c r="J783" t="s">
        <v>61</v>
      </c>
      <c r="K783" t="s">
        <v>42</v>
      </c>
      <c r="L783" t="s">
        <v>33</v>
      </c>
      <c r="M783" t="s">
        <v>64</v>
      </c>
      <c r="N783">
        <v>5</v>
      </c>
      <c r="X783">
        <v>6</v>
      </c>
      <c r="AB783" t="str">
        <f t="shared" si="12"/>
        <v>Jun</v>
      </c>
    </row>
    <row r="784" spans="1:28" x14ac:dyDescent="0.35">
      <c r="A784" t="s">
        <v>832</v>
      </c>
      <c r="B784">
        <v>21</v>
      </c>
      <c r="C784" t="s">
        <v>24</v>
      </c>
      <c r="D784" t="s">
        <v>53</v>
      </c>
      <c r="E784" t="s">
        <v>26</v>
      </c>
      <c r="F784" t="s">
        <v>27</v>
      </c>
      <c r="G784" s="1">
        <v>45723</v>
      </c>
      <c r="H784" s="1">
        <v>45732</v>
      </c>
      <c r="I784" s="4">
        <v>224247</v>
      </c>
      <c r="J784" t="s">
        <v>19</v>
      </c>
      <c r="K784" t="s">
        <v>29</v>
      </c>
      <c r="L784" t="s">
        <v>43</v>
      </c>
      <c r="M784" t="s">
        <v>22</v>
      </c>
      <c r="N784">
        <v>3</v>
      </c>
      <c r="X784">
        <v>3</v>
      </c>
      <c r="AB784" t="str">
        <f t="shared" si="12"/>
        <v>Mar</v>
      </c>
    </row>
    <row r="785" spans="1:28" x14ac:dyDescent="0.35">
      <c r="A785" t="s">
        <v>833</v>
      </c>
      <c r="B785">
        <v>74</v>
      </c>
      <c r="C785" t="s">
        <v>15</v>
      </c>
      <c r="D785" t="s">
        <v>58</v>
      </c>
      <c r="E785" t="s">
        <v>40</v>
      </c>
      <c r="F785" t="s">
        <v>36</v>
      </c>
      <c r="G785" s="1">
        <v>45814</v>
      </c>
      <c r="H785" s="1">
        <v>45817</v>
      </c>
      <c r="I785" s="4">
        <v>111695</v>
      </c>
      <c r="J785" t="s">
        <v>61</v>
      </c>
      <c r="K785" t="s">
        <v>29</v>
      </c>
      <c r="L785" t="s">
        <v>48</v>
      </c>
      <c r="M785" t="s">
        <v>22</v>
      </c>
      <c r="N785">
        <v>5</v>
      </c>
      <c r="X785">
        <v>6</v>
      </c>
      <c r="AB785" t="str">
        <f t="shared" si="12"/>
        <v>Jun</v>
      </c>
    </row>
    <row r="786" spans="1:28" x14ac:dyDescent="0.35">
      <c r="A786" t="s">
        <v>834</v>
      </c>
      <c r="B786">
        <v>80</v>
      </c>
      <c r="C786" t="s">
        <v>24</v>
      </c>
      <c r="D786" t="s">
        <v>31</v>
      </c>
      <c r="E786" t="s">
        <v>26</v>
      </c>
      <c r="F786" t="s">
        <v>56</v>
      </c>
      <c r="G786" s="1">
        <v>45605</v>
      </c>
      <c r="H786" s="1">
        <v>45616</v>
      </c>
      <c r="I786" s="4">
        <v>108276</v>
      </c>
      <c r="J786" t="s">
        <v>28</v>
      </c>
      <c r="K786" t="s">
        <v>20</v>
      </c>
      <c r="L786" t="s">
        <v>48</v>
      </c>
      <c r="M786" t="s">
        <v>22</v>
      </c>
      <c r="N786">
        <v>1</v>
      </c>
      <c r="X786">
        <v>11</v>
      </c>
      <c r="AB786" t="str">
        <f t="shared" si="12"/>
        <v>Nov</v>
      </c>
    </row>
    <row r="787" spans="1:28" x14ac:dyDescent="0.35">
      <c r="A787" t="s">
        <v>835</v>
      </c>
      <c r="B787">
        <v>82</v>
      </c>
      <c r="C787" t="s">
        <v>24</v>
      </c>
      <c r="D787" t="s">
        <v>25</v>
      </c>
      <c r="E787" t="s">
        <v>51</v>
      </c>
      <c r="F787" t="s">
        <v>41</v>
      </c>
      <c r="G787" s="1">
        <v>45973</v>
      </c>
      <c r="H787" s="1">
        <v>45975</v>
      </c>
      <c r="I787" s="4">
        <v>156110</v>
      </c>
      <c r="J787" t="s">
        <v>28</v>
      </c>
      <c r="K787" t="s">
        <v>29</v>
      </c>
      <c r="L787" t="s">
        <v>21</v>
      </c>
      <c r="M787" t="s">
        <v>38</v>
      </c>
      <c r="N787">
        <v>1</v>
      </c>
      <c r="X787">
        <v>11</v>
      </c>
      <c r="AB787" t="str">
        <f t="shared" si="12"/>
        <v>Nov</v>
      </c>
    </row>
    <row r="788" spans="1:28" x14ac:dyDescent="0.35">
      <c r="A788" t="s">
        <v>836</v>
      </c>
      <c r="B788">
        <v>74</v>
      </c>
      <c r="C788" t="s">
        <v>24</v>
      </c>
      <c r="D788" t="s">
        <v>50</v>
      </c>
      <c r="E788" t="s">
        <v>40</v>
      </c>
      <c r="F788" t="s">
        <v>56</v>
      </c>
      <c r="G788" s="1">
        <v>46011</v>
      </c>
      <c r="H788" s="1">
        <v>46028</v>
      </c>
      <c r="I788" s="4">
        <v>40597</v>
      </c>
      <c r="J788" t="s">
        <v>61</v>
      </c>
      <c r="K788" t="s">
        <v>20</v>
      </c>
      <c r="L788" t="s">
        <v>33</v>
      </c>
      <c r="M788" t="s">
        <v>64</v>
      </c>
      <c r="N788">
        <v>4</v>
      </c>
      <c r="X788">
        <v>12</v>
      </c>
      <c r="AB788" t="str">
        <f t="shared" si="12"/>
        <v>Dec</v>
      </c>
    </row>
    <row r="789" spans="1:28" x14ac:dyDescent="0.35">
      <c r="A789" t="s">
        <v>837</v>
      </c>
      <c r="B789">
        <v>67</v>
      </c>
      <c r="C789" t="s">
        <v>24</v>
      </c>
      <c r="D789" t="s">
        <v>50</v>
      </c>
      <c r="E789" t="s">
        <v>51</v>
      </c>
      <c r="F789" t="s">
        <v>27</v>
      </c>
      <c r="G789" s="1">
        <v>45996</v>
      </c>
      <c r="H789" s="1">
        <v>46009</v>
      </c>
      <c r="I789" s="4">
        <v>94830</v>
      </c>
      <c r="J789" t="s">
        <v>61</v>
      </c>
      <c r="K789" t="s">
        <v>29</v>
      </c>
      <c r="L789" t="s">
        <v>33</v>
      </c>
      <c r="M789" t="s">
        <v>38</v>
      </c>
      <c r="N789">
        <v>5</v>
      </c>
      <c r="X789">
        <v>12</v>
      </c>
      <c r="AB789" t="str">
        <f t="shared" si="12"/>
        <v>Dec</v>
      </c>
    </row>
    <row r="790" spans="1:28" x14ac:dyDescent="0.35">
      <c r="A790" t="s">
        <v>838</v>
      </c>
      <c r="B790">
        <v>33</v>
      </c>
      <c r="C790" t="s">
        <v>15</v>
      </c>
      <c r="D790" t="s">
        <v>58</v>
      </c>
      <c r="E790" t="s">
        <v>35</v>
      </c>
      <c r="F790" t="s">
        <v>18</v>
      </c>
      <c r="G790" s="1">
        <v>45938</v>
      </c>
      <c r="H790" s="1">
        <v>45954</v>
      </c>
      <c r="I790" s="4">
        <v>113156</v>
      </c>
      <c r="J790" t="s">
        <v>28</v>
      </c>
      <c r="K790" t="s">
        <v>29</v>
      </c>
      <c r="L790" t="s">
        <v>48</v>
      </c>
      <c r="M790" t="s">
        <v>22</v>
      </c>
      <c r="N790">
        <v>4</v>
      </c>
      <c r="X790">
        <v>10</v>
      </c>
      <c r="AB790" t="str">
        <f t="shared" si="12"/>
        <v>Oct</v>
      </c>
    </row>
    <row r="791" spans="1:28" x14ac:dyDescent="0.35">
      <c r="A791" t="s">
        <v>839</v>
      </c>
      <c r="B791">
        <v>66</v>
      </c>
      <c r="C791" t="s">
        <v>15</v>
      </c>
      <c r="D791" t="s">
        <v>53</v>
      </c>
      <c r="E791" t="s">
        <v>35</v>
      </c>
      <c r="F791" t="s">
        <v>18</v>
      </c>
      <c r="G791" s="1">
        <v>45774</v>
      </c>
      <c r="H791" s="1">
        <v>45780</v>
      </c>
      <c r="I791" s="4">
        <v>176860</v>
      </c>
      <c r="J791" t="s">
        <v>28</v>
      </c>
      <c r="K791" t="s">
        <v>42</v>
      </c>
      <c r="L791" t="s">
        <v>48</v>
      </c>
      <c r="M791" t="s">
        <v>22</v>
      </c>
      <c r="N791">
        <v>2</v>
      </c>
      <c r="X791">
        <v>4</v>
      </c>
      <c r="AB791" t="str">
        <f t="shared" si="12"/>
        <v>Apr</v>
      </c>
    </row>
    <row r="792" spans="1:28" x14ac:dyDescent="0.35">
      <c r="A792" t="s">
        <v>840</v>
      </c>
      <c r="B792">
        <v>39</v>
      </c>
      <c r="C792" t="s">
        <v>15</v>
      </c>
      <c r="D792" t="s">
        <v>25</v>
      </c>
      <c r="E792" t="s">
        <v>35</v>
      </c>
      <c r="F792" t="s">
        <v>18</v>
      </c>
      <c r="G792" s="1">
        <v>45545</v>
      </c>
      <c r="H792" s="1">
        <v>45549</v>
      </c>
      <c r="I792" s="4">
        <v>56977</v>
      </c>
      <c r="J792" t="s">
        <v>61</v>
      </c>
      <c r="K792" t="s">
        <v>20</v>
      </c>
      <c r="L792" t="s">
        <v>48</v>
      </c>
      <c r="M792" t="s">
        <v>22</v>
      </c>
      <c r="N792">
        <v>2</v>
      </c>
      <c r="X792">
        <v>9</v>
      </c>
      <c r="AB792" t="str">
        <f t="shared" si="12"/>
        <v>Sep</v>
      </c>
    </row>
    <row r="793" spans="1:28" x14ac:dyDescent="0.35">
      <c r="A793" t="s">
        <v>841</v>
      </c>
      <c r="B793">
        <v>24</v>
      </c>
      <c r="C793" t="s">
        <v>24</v>
      </c>
      <c r="D793" t="s">
        <v>25</v>
      </c>
      <c r="E793" t="s">
        <v>35</v>
      </c>
      <c r="F793" t="s">
        <v>41</v>
      </c>
      <c r="G793" s="1">
        <v>45746</v>
      </c>
      <c r="H793" s="1">
        <v>45748</v>
      </c>
      <c r="I793" s="4">
        <v>10661</v>
      </c>
      <c r="J793" t="s">
        <v>61</v>
      </c>
      <c r="K793" t="s">
        <v>63</v>
      </c>
      <c r="L793" t="s">
        <v>46</v>
      </c>
      <c r="M793" t="s">
        <v>38</v>
      </c>
      <c r="N793">
        <v>2</v>
      </c>
      <c r="X793">
        <v>3</v>
      </c>
      <c r="AB793" t="str">
        <f t="shared" si="12"/>
        <v>Mar</v>
      </c>
    </row>
    <row r="794" spans="1:28" x14ac:dyDescent="0.35">
      <c r="A794" t="s">
        <v>842</v>
      </c>
      <c r="B794">
        <v>43</v>
      </c>
      <c r="C794" t="s">
        <v>24</v>
      </c>
      <c r="D794" t="s">
        <v>58</v>
      </c>
      <c r="E794" t="s">
        <v>26</v>
      </c>
      <c r="F794" t="s">
        <v>41</v>
      </c>
      <c r="G794" s="1">
        <v>45814</v>
      </c>
      <c r="H794" s="1">
        <v>45828</v>
      </c>
      <c r="I794" s="4">
        <v>72325</v>
      </c>
      <c r="J794" t="s">
        <v>19</v>
      </c>
      <c r="K794" t="s">
        <v>42</v>
      </c>
      <c r="L794" t="s">
        <v>33</v>
      </c>
      <c r="M794" t="s">
        <v>64</v>
      </c>
      <c r="N794">
        <v>5</v>
      </c>
      <c r="X794">
        <v>6</v>
      </c>
      <c r="AB794" t="str">
        <f t="shared" si="12"/>
        <v>Jun</v>
      </c>
    </row>
    <row r="795" spans="1:28" x14ac:dyDescent="0.35">
      <c r="A795" t="s">
        <v>843</v>
      </c>
      <c r="B795">
        <v>52</v>
      </c>
      <c r="C795" t="s">
        <v>15</v>
      </c>
      <c r="D795" t="s">
        <v>58</v>
      </c>
      <c r="E795" t="s">
        <v>51</v>
      </c>
      <c r="F795" t="s">
        <v>18</v>
      </c>
      <c r="G795" s="1">
        <v>45755</v>
      </c>
      <c r="H795" s="1">
        <v>45769</v>
      </c>
      <c r="I795" s="4">
        <v>112511</v>
      </c>
      <c r="J795" t="s">
        <v>28</v>
      </c>
      <c r="K795" t="s">
        <v>42</v>
      </c>
      <c r="L795" t="s">
        <v>46</v>
      </c>
      <c r="M795" t="s">
        <v>64</v>
      </c>
      <c r="N795">
        <v>5</v>
      </c>
      <c r="X795">
        <v>4</v>
      </c>
      <c r="AB795" t="str">
        <f t="shared" si="12"/>
        <v>Apr</v>
      </c>
    </row>
    <row r="796" spans="1:28" x14ac:dyDescent="0.35">
      <c r="A796" t="s">
        <v>844</v>
      </c>
      <c r="B796">
        <v>61</v>
      </c>
      <c r="C796" t="s">
        <v>24</v>
      </c>
      <c r="D796" t="s">
        <v>45</v>
      </c>
      <c r="E796" t="s">
        <v>17</v>
      </c>
      <c r="F796" t="s">
        <v>36</v>
      </c>
      <c r="G796" s="1">
        <v>45782</v>
      </c>
      <c r="H796" s="1">
        <v>45800</v>
      </c>
      <c r="I796" s="4">
        <v>18093</v>
      </c>
      <c r="J796" t="s">
        <v>37</v>
      </c>
      <c r="K796" t="s">
        <v>63</v>
      </c>
      <c r="L796" t="s">
        <v>43</v>
      </c>
      <c r="M796" t="s">
        <v>22</v>
      </c>
      <c r="N796">
        <v>3</v>
      </c>
      <c r="X796">
        <v>5</v>
      </c>
      <c r="AB796" t="str">
        <f t="shared" si="12"/>
        <v>May</v>
      </c>
    </row>
    <row r="797" spans="1:28" x14ac:dyDescent="0.35">
      <c r="A797" t="s">
        <v>845</v>
      </c>
      <c r="B797">
        <v>81</v>
      </c>
      <c r="C797" t="s">
        <v>24</v>
      </c>
      <c r="D797" t="s">
        <v>58</v>
      </c>
      <c r="E797" t="s">
        <v>51</v>
      </c>
      <c r="F797" t="s">
        <v>41</v>
      </c>
      <c r="G797" s="1">
        <v>45339</v>
      </c>
      <c r="H797" s="1">
        <v>45340</v>
      </c>
      <c r="I797" s="4">
        <v>21173</v>
      </c>
      <c r="J797" t="s">
        <v>19</v>
      </c>
      <c r="K797" t="s">
        <v>42</v>
      </c>
      <c r="L797" t="s">
        <v>33</v>
      </c>
      <c r="M797" t="s">
        <v>22</v>
      </c>
      <c r="N797">
        <v>4</v>
      </c>
      <c r="X797">
        <v>2</v>
      </c>
      <c r="AB797" t="str">
        <f t="shared" si="12"/>
        <v>Feb</v>
      </c>
    </row>
    <row r="798" spans="1:28" x14ac:dyDescent="0.35">
      <c r="A798" t="s">
        <v>846</v>
      </c>
      <c r="B798">
        <v>54</v>
      </c>
      <c r="C798" t="s">
        <v>24</v>
      </c>
      <c r="D798" t="s">
        <v>45</v>
      </c>
      <c r="E798" t="s">
        <v>17</v>
      </c>
      <c r="F798" t="s">
        <v>18</v>
      </c>
      <c r="G798" s="1">
        <v>45858</v>
      </c>
      <c r="H798" s="1">
        <v>45864</v>
      </c>
      <c r="I798" s="4">
        <v>15399</v>
      </c>
      <c r="J798" t="s">
        <v>61</v>
      </c>
      <c r="K798" t="s">
        <v>42</v>
      </c>
      <c r="L798" t="s">
        <v>46</v>
      </c>
      <c r="M798" t="s">
        <v>64</v>
      </c>
      <c r="N798">
        <v>5</v>
      </c>
      <c r="X798">
        <v>7</v>
      </c>
      <c r="AB798" t="str">
        <f t="shared" si="12"/>
        <v>Jul</v>
      </c>
    </row>
    <row r="799" spans="1:28" x14ac:dyDescent="0.35">
      <c r="A799" t="s">
        <v>847</v>
      </c>
      <c r="B799">
        <v>40</v>
      </c>
      <c r="C799" t="s">
        <v>15</v>
      </c>
      <c r="D799" t="s">
        <v>58</v>
      </c>
      <c r="E799" t="s">
        <v>40</v>
      </c>
      <c r="F799" t="s">
        <v>18</v>
      </c>
      <c r="G799" s="1">
        <v>45558</v>
      </c>
      <c r="H799" s="1">
        <v>45563</v>
      </c>
      <c r="I799" s="4">
        <v>55347</v>
      </c>
      <c r="J799" t="s">
        <v>19</v>
      </c>
      <c r="K799" t="s">
        <v>42</v>
      </c>
      <c r="L799" t="s">
        <v>33</v>
      </c>
      <c r="M799" t="s">
        <v>22</v>
      </c>
      <c r="N799">
        <v>2</v>
      </c>
      <c r="X799">
        <v>9</v>
      </c>
      <c r="AB799" t="str">
        <f t="shared" si="12"/>
        <v>Sep</v>
      </c>
    </row>
    <row r="800" spans="1:28" x14ac:dyDescent="0.35">
      <c r="A800" t="s">
        <v>848</v>
      </c>
      <c r="B800">
        <v>59</v>
      </c>
      <c r="C800" t="s">
        <v>24</v>
      </c>
      <c r="D800" t="s">
        <v>45</v>
      </c>
      <c r="E800" t="s">
        <v>40</v>
      </c>
      <c r="F800" t="s">
        <v>27</v>
      </c>
      <c r="G800" s="1">
        <v>45605</v>
      </c>
      <c r="H800" s="1">
        <v>45617</v>
      </c>
      <c r="I800" s="4">
        <v>247026</v>
      </c>
      <c r="J800" t="s">
        <v>19</v>
      </c>
      <c r="K800" t="s">
        <v>20</v>
      </c>
      <c r="L800" t="s">
        <v>33</v>
      </c>
      <c r="M800" t="s">
        <v>64</v>
      </c>
      <c r="N800">
        <v>1</v>
      </c>
      <c r="X800">
        <v>11</v>
      </c>
      <c r="AB800" t="str">
        <f t="shared" si="12"/>
        <v>Nov</v>
      </c>
    </row>
    <row r="801" spans="1:28" x14ac:dyDescent="0.35">
      <c r="A801" t="s">
        <v>849</v>
      </c>
      <c r="B801">
        <v>43</v>
      </c>
      <c r="C801" t="s">
        <v>15</v>
      </c>
      <c r="D801" t="s">
        <v>53</v>
      </c>
      <c r="E801" t="s">
        <v>26</v>
      </c>
      <c r="F801" t="s">
        <v>36</v>
      </c>
      <c r="G801" s="1">
        <v>45847</v>
      </c>
      <c r="H801" s="1">
        <v>45857</v>
      </c>
      <c r="I801" s="4">
        <v>25548</v>
      </c>
      <c r="J801" t="s">
        <v>19</v>
      </c>
      <c r="K801" t="s">
        <v>63</v>
      </c>
      <c r="L801" t="s">
        <v>33</v>
      </c>
      <c r="M801" t="s">
        <v>38</v>
      </c>
      <c r="N801">
        <v>1</v>
      </c>
      <c r="X801">
        <v>7</v>
      </c>
      <c r="AB801" t="str">
        <f t="shared" si="12"/>
        <v>Jul</v>
      </c>
    </row>
    <row r="802" spans="1:28" x14ac:dyDescent="0.35">
      <c r="A802" t="s">
        <v>850</v>
      </c>
      <c r="B802">
        <v>60</v>
      </c>
      <c r="C802" t="s">
        <v>15</v>
      </c>
      <c r="D802" t="s">
        <v>16</v>
      </c>
      <c r="E802" t="s">
        <v>51</v>
      </c>
      <c r="F802" t="s">
        <v>27</v>
      </c>
      <c r="G802" s="1">
        <v>45536</v>
      </c>
      <c r="H802" s="1">
        <v>45556</v>
      </c>
      <c r="I802" s="4">
        <v>188353</v>
      </c>
      <c r="J802" t="s">
        <v>19</v>
      </c>
      <c r="K802" t="s">
        <v>29</v>
      </c>
      <c r="L802" t="s">
        <v>21</v>
      </c>
      <c r="M802" t="s">
        <v>22</v>
      </c>
      <c r="N802">
        <v>2</v>
      </c>
      <c r="X802">
        <v>9</v>
      </c>
      <c r="AB802" t="str">
        <f t="shared" si="12"/>
        <v>Sep</v>
      </c>
    </row>
    <row r="803" spans="1:28" x14ac:dyDescent="0.35">
      <c r="A803" t="s">
        <v>851</v>
      </c>
      <c r="B803">
        <v>66</v>
      </c>
      <c r="C803" t="s">
        <v>24</v>
      </c>
      <c r="D803" t="s">
        <v>25</v>
      </c>
      <c r="E803" t="s">
        <v>40</v>
      </c>
      <c r="F803" t="s">
        <v>41</v>
      </c>
      <c r="G803" s="1">
        <v>45774</v>
      </c>
      <c r="H803" s="1">
        <v>45793</v>
      </c>
      <c r="I803" s="4">
        <v>49614</v>
      </c>
      <c r="J803" t="s">
        <v>19</v>
      </c>
      <c r="K803" t="s">
        <v>20</v>
      </c>
      <c r="L803" t="s">
        <v>46</v>
      </c>
      <c r="M803" t="s">
        <v>64</v>
      </c>
      <c r="N803">
        <v>1</v>
      </c>
      <c r="X803">
        <v>4</v>
      </c>
      <c r="AB803" t="str">
        <f t="shared" si="12"/>
        <v>Apr</v>
      </c>
    </row>
    <row r="804" spans="1:28" x14ac:dyDescent="0.35">
      <c r="A804" t="s">
        <v>852</v>
      </c>
      <c r="B804">
        <v>46</v>
      </c>
      <c r="C804" t="s">
        <v>15</v>
      </c>
      <c r="D804" t="s">
        <v>45</v>
      </c>
      <c r="E804" t="s">
        <v>26</v>
      </c>
      <c r="F804" t="s">
        <v>41</v>
      </c>
      <c r="G804" s="1">
        <v>45920</v>
      </c>
      <c r="H804" s="1">
        <v>45926</v>
      </c>
      <c r="I804" s="4">
        <v>15348</v>
      </c>
      <c r="J804" t="s">
        <v>28</v>
      </c>
      <c r="K804" t="s">
        <v>63</v>
      </c>
      <c r="L804" t="s">
        <v>46</v>
      </c>
      <c r="M804" t="s">
        <v>64</v>
      </c>
      <c r="N804">
        <v>5</v>
      </c>
      <c r="X804">
        <v>9</v>
      </c>
      <c r="AB804" t="str">
        <f t="shared" si="12"/>
        <v>Sep</v>
      </c>
    </row>
    <row r="805" spans="1:28" x14ac:dyDescent="0.35">
      <c r="A805" t="s">
        <v>853</v>
      </c>
      <c r="B805">
        <v>73</v>
      </c>
      <c r="C805" t="s">
        <v>15</v>
      </c>
      <c r="D805" t="s">
        <v>31</v>
      </c>
      <c r="E805" t="s">
        <v>51</v>
      </c>
      <c r="F805" t="s">
        <v>41</v>
      </c>
      <c r="G805" s="1">
        <v>45370</v>
      </c>
      <c r="H805" s="1">
        <v>45386</v>
      </c>
      <c r="I805" s="4">
        <v>227357</v>
      </c>
      <c r="J805" t="s">
        <v>37</v>
      </c>
      <c r="K805" t="s">
        <v>42</v>
      </c>
      <c r="L805" t="s">
        <v>21</v>
      </c>
      <c r="M805" t="s">
        <v>38</v>
      </c>
      <c r="N805">
        <v>3</v>
      </c>
      <c r="X805">
        <v>3</v>
      </c>
      <c r="AB805" t="str">
        <f t="shared" si="12"/>
        <v>Mar</v>
      </c>
    </row>
    <row r="806" spans="1:28" x14ac:dyDescent="0.35">
      <c r="A806" t="s">
        <v>854</v>
      </c>
      <c r="B806">
        <v>61</v>
      </c>
      <c r="C806" t="s">
        <v>24</v>
      </c>
      <c r="D806" t="s">
        <v>25</v>
      </c>
      <c r="E806" t="s">
        <v>26</v>
      </c>
      <c r="F806" t="s">
        <v>27</v>
      </c>
      <c r="G806" s="1">
        <v>45496</v>
      </c>
      <c r="H806" s="1">
        <v>45504</v>
      </c>
      <c r="I806" s="4">
        <v>237702</v>
      </c>
      <c r="J806" t="s">
        <v>28</v>
      </c>
      <c r="K806" t="s">
        <v>20</v>
      </c>
      <c r="L806" t="s">
        <v>43</v>
      </c>
      <c r="M806" t="s">
        <v>22</v>
      </c>
      <c r="N806">
        <v>3</v>
      </c>
      <c r="X806">
        <v>7</v>
      </c>
      <c r="AB806" t="str">
        <f t="shared" si="12"/>
        <v>Jul</v>
      </c>
    </row>
    <row r="807" spans="1:28" x14ac:dyDescent="0.35">
      <c r="A807" t="s">
        <v>855</v>
      </c>
      <c r="B807">
        <v>60</v>
      </c>
      <c r="C807" t="s">
        <v>24</v>
      </c>
      <c r="D807" t="s">
        <v>45</v>
      </c>
      <c r="E807" t="s">
        <v>17</v>
      </c>
      <c r="F807" t="s">
        <v>36</v>
      </c>
      <c r="G807" s="1">
        <v>45618</v>
      </c>
      <c r="H807" s="1">
        <v>45632</v>
      </c>
      <c r="I807" s="4">
        <v>12723</v>
      </c>
      <c r="J807" t="s">
        <v>37</v>
      </c>
      <c r="K807" t="s">
        <v>29</v>
      </c>
      <c r="L807" t="s">
        <v>46</v>
      </c>
      <c r="M807" t="s">
        <v>22</v>
      </c>
      <c r="N807">
        <v>1</v>
      </c>
      <c r="X807">
        <v>11</v>
      </c>
      <c r="AB807" t="str">
        <f t="shared" si="12"/>
        <v>Nov</v>
      </c>
    </row>
    <row r="808" spans="1:28" x14ac:dyDescent="0.35">
      <c r="A808" t="s">
        <v>856</v>
      </c>
      <c r="B808">
        <v>38</v>
      </c>
      <c r="C808" t="s">
        <v>15</v>
      </c>
      <c r="D808" t="s">
        <v>53</v>
      </c>
      <c r="E808" t="s">
        <v>40</v>
      </c>
      <c r="F808" t="s">
        <v>18</v>
      </c>
      <c r="G808" s="1">
        <v>45932</v>
      </c>
      <c r="H808" s="1">
        <v>45949</v>
      </c>
      <c r="I808" s="4">
        <v>47002</v>
      </c>
      <c r="J808" t="s">
        <v>37</v>
      </c>
      <c r="K808" t="s">
        <v>29</v>
      </c>
      <c r="L808" t="s">
        <v>48</v>
      </c>
      <c r="M808" t="s">
        <v>38</v>
      </c>
      <c r="N808">
        <v>3</v>
      </c>
      <c r="X808">
        <v>10</v>
      </c>
      <c r="AB808" t="str">
        <f t="shared" si="12"/>
        <v>Oct</v>
      </c>
    </row>
    <row r="809" spans="1:28" x14ac:dyDescent="0.35">
      <c r="A809" t="s">
        <v>857</v>
      </c>
      <c r="B809">
        <v>27</v>
      </c>
      <c r="C809" t="s">
        <v>24</v>
      </c>
      <c r="D809" t="s">
        <v>50</v>
      </c>
      <c r="E809" t="s">
        <v>40</v>
      </c>
      <c r="F809" t="s">
        <v>36</v>
      </c>
      <c r="G809" s="1">
        <v>45415</v>
      </c>
      <c r="H809" s="1">
        <v>45418</v>
      </c>
      <c r="I809" s="4">
        <v>107292</v>
      </c>
      <c r="J809" t="s">
        <v>28</v>
      </c>
      <c r="K809" t="s">
        <v>42</v>
      </c>
      <c r="L809" t="s">
        <v>48</v>
      </c>
      <c r="M809" t="s">
        <v>64</v>
      </c>
      <c r="N809">
        <v>2</v>
      </c>
      <c r="X809">
        <v>5</v>
      </c>
      <c r="AB809" t="str">
        <f t="shared" si="12"/>
        <v>May</v>
      </c>
    </row>
    <row r="810" spans="1:28" x14ac:dyDescent="0.35">
      <c r="A810" t="s">
        <v>858</v>
      </c>
      <c r="B810">
        <v>83</v>
      </c>
      <c r="C810" t="s">
        <v>24</v>
      </c>
      <c r="D810" t="s">
        <v>45</v>
      </c>
      <c r="E810" t="s">
        <v>35</v>
      </c>
      <c r="F810" t="s">
        <v>41</v>
      </c>
      <c r="G810" s="1">
        <v>45460</v>
      </c>
      <c r="H810" s="1">
        <v>45463</v>
      </c>
      <c r="I810" s="4">
        <v>91881</v>
      </c>
      <c r="J810" t="s">
        <v>28</v>
      </c>
      <c r="K810" t="s">
        <v>29</v>
      </c>
      <c r="L810" t="s">
        <v>48</v>
      </c>
      <c r="M810" t="s">
        <v>22</v>
      </c>
      <c r="N810">
        <v>2</v>
      </c>
      <c r="X810">
        <v>6</v>
      </c>
      <c r="AB810" t="str">
        <f t="shared" si="12"/>
        <v>Jun</v>
      </c>
    </row>
    <row r="811" spans="1:28" x14ac:dyDescent="0.35">
      <c r="A811" t="s">
        <v>859</v>
      </c>
      <c r="B811">
        <v>24</v>
      </c>
      <c r="C811" t="s">
        <v>15</v>
      </c>
      <c r="D811" t="s">
        <v>45</v>
      </c>
      <c r="E811" t="s">
        <v>26</v>
      </c>
      <c r="F811" t="s">
        <v>27</v>
      </c>
      <c r="G811" s="1">
        <v>45645</v>
      </c>
      <c r="H811" s="1">
        <v>45663</v>
      </c>
      <c r="I811" s="4">
        <v>105996</v>
      </c>
      <c r="J811" t="s">
        <v>61</v>
      </c>
      <c r="K811" t="s">
        <v>29</v>
      </c>
      <c r="L811" t="s">
        <v>48</v>
      </c>
      <c r="M811" t="s">
        <v>22</v>
      </c>
      <c r="N811">
        <v>1</v>
      </c>
      <c r="X811">
        <v>12</v>
      </c>
      <c r="AB811" t="str">
        <f t="shared" si="12"/>
        <v>Dec</v>
      </c>
    </row>
    <row r="812" spans="1:28" x14ac:dyDescent="0.35">
      <c r="A812" t="s">
        <v>860</v>
      </c>
      <c r="B812">
        <v>70</v>
      </c>
      <c r="C812" t="s">
        <v>24</v>
      </c>
      <c r="D812" t="s">
        <v>45</v>
      </c>
      <c r="E812" t="s">
        <v>17</v>
      </c>
      <c r="F812" t="s">
        <v>18</v>
      </c>
      <c r="G812" s="1">
        <v>45750</v>
      </c>
      <c r="H812" s="1">
        <v>45764</v>
      </c>
      <c r="I812" s="4">
        <v>20229</v>
      </c>
      <c r="J812" t="s">
        <v>37</v>
      </c>
      <c r="K812" t="s">
        <v>20</v>
      </c>
      <c r="L812" t="s">
        <v>48</v>
      </c>
      <c r="M812" t="s">
        <v>38</v>
      </c>
      <c r="N812">
        <v>4</v>
      </c>
      <c r="X812">
        <v>4</v>
      </c>
      <c r="AB812" t="str">
        <f t="shared" si="12"/>
        <v>Apr</v>
      </c>
    </row>
    <row r="813" spans="1:28" x14ac:dyDescent="0.35">
      <c r="A813" t="s">
        <v>861</v>
      </c>
      <c r="B813">
        <v>29</v>
      </c>
      <c r="C813" t="s">
        <v>24</v>
      </c>
      <c r="D813" t="s">
        <v>16</v>
      </c>
      <c r="E813" t="s">
        <v>32</v>
      </c>
      <c r="F813" t="s">
        <v>27</v>
      </c>
      <c r="G813" s="1">
        <v>45817</v>
      </c>
      <c r="H813" s="1">
        <v>45828</v>
      </c>
      <c r="I813" s="4">
        <v>69921</v>
      </c>
      <c r="J813" t="s">
        <v>61</v>
      </c>
      <c r="K813" t="s">
        <v>42</v>
      </c>
      <c r="L813" t="s">
        <v>43</v>
      </c>
      <c r="M813" t="s">
        <v>64</v>
      </c>
      <c r="N813">
        <v>1</v>
      </c>
      <c r="X813">
        <v>6</v>
      </c>
      <c r="AB813" t="str">
        <f t="shared" si="12"/>
        <v>Jun</v>
      </c>
    </row>
    <row r="814" spans="1:28" x14ac:dyDescent="0.35">
      <c r="A814" t="s">
        <v>862</v>
      </c>
      <c r="B814">
        <v>25</v>
      </c>
      <c r="C814" t="s">
        <v>15</v>
      </c>
      <c r="D814" t="s">
        <v>53</v>
      </c>
      <c r="E814" t="s">
        <v>40</v>
      </c>
      <c r="F814" t="s">
        <v>41</v>
      </c>
      <c r="G814" s="1">
        <v>45432</v>
      </c>
      <c r="H814" s="1">
        <v>45437</v>
      </c>
      <c r="I814" s="4">
        <v>95601</v>
      </c>
      <c r="J814" t="s">
        <v>28</v>
      </c>
      <c r="K814" t="s">
        <v>42</v>
      </c>
      <c r="L814" t="s">
        <v>48</v>
      </c>
      <c r="M814" t="s">
        <v>22</v>
      </c>
      <c r="N814">
        <v>4</v>
      </c>
      <c r="X814">
        <v>5</v>
      </c>
      <c r="AB814" t="str">
        <f t="shared" si="12"/>
        <v>May</v>
      </c>
    </row>
    <row r="815" spans="1:28" x14ac:dyDescent="0.35">
      <c r="A815" t="s">
        <v>863</v>
      </c>
      <c r="B815">
        <v>52</v>
      </c>
      <c r="C815" t="s">
        <v>15</v>
      </c>
      <c r="D815" t="s">
        <v>50</v>
      </c>
      <c r="E815" t="s">
        <v>35</v>
      </c>
      <c r="F815" t="s">
        <v>27</v>
      </c>
      <c r="G815" s="1">
        <v>45993</v>
      </c>
      <c r="H815" s="1">
        <v>46004</v>
      </c>
      <c r="I815" s="4">
        <v>76848</v>
      </c>
      <c r="J815" t="s">
        <v>61</v>
      </c>
      <c r="K815" t="s">
        <v>29</v>
      </c>
      <c r="L815" t="s">
        <v>21</v>
      </c>
      <c r="M815" t="s">
        <v>38</v>
      </c>
      <c r="N815">
        <v>2</v>
      </c>
      <c r="X815">
        <v>12</v>
      </c>
      <c r="AB815" t="str">
        <f t="shared" si="12"/>
        <v>Dec</v>
      </c>
    </row>
    <row r="816" spans="1:28" x14ac:dyDescent="0.35">
      <c r="A816" t="s">
        <v>864</v>
      </c>
      <c r="B816">
        <v>52</v>
      </c>
      <c r="C816" t="s">
        <v>15</v>
      </c>
      <c r="D816" t="s">
        <v>58</v>
      </c>
      <c r="E816" t="s">
        <v>17</v>
      </c>
      <c r="F816" t="s">
        <v>18</v>
      </c>
      <c r="G816" s="1">
        <v>45504</v>
      </c>
      <c r="H816" s="1">
        <v>45510</v>
      </c>
      <c r="I816" s="4">
        <v>58391</v>
      </c>
      <c r="J816" t="s">
        <v>61</v>
      </c>
      <c r="K816" t="s">
        <v>42</v>
      </c>
      <c r="L816" t="s">
        <v>43</v>
      </c>
      <c r="M816" t="s">
        <v>38</v>
      </c>
      <c r="N816">
        <v>5</v>
      </c>
      <c r="X816">
        <v>7</v>
      </c>
      <c r="AB816" t="str">
        <f t="shared" si="12"/>
        <v>Jul</v>
      </c>
    </row>
    <row r="817" spans="1:28" x14ac:dyDescent="0.35">
      <c r="A817" t="s">
        <v>865</v>
      </c>
      <c r="B817">
        <v>60</v>
      </c>
      <c r="C817" t="s">
        <v>15</v>
      </c>
      <c r="D817" t="s">
        <v>45</v>
      </c>
      <c r="E817" t="s">
        <v>35</v>
      </c>
      <c r="F817" t="s">
        <v>27</v>
      </c>
      <c r="G817" s="1">
        <v>45458</v>
      </c>
      <c r="H817" s="1">
        <v>45466</v>
      </c>
      <c r="I817" s="4">
        <v>13122</v>
      </c>
      <c r="J817" t="s">
        <v>37</v>
      </c>
      <c r="K817" t="s">
        <v>42</v>
      </c>
      <c r="L817" t="s">
        <v>48</v>
      </c>
      <c r="M817" t="s">
        <v>64</v>
      </c>
      <c r="N817">
        <v>2</v>
      </c>
      <c r="X817">
        <v>6</v>
      </c>
      <c r="AB817" t="str">
        <f t="shared" si="12"/>
        <v>Jun</v>
      </c>
    </row>
    <row r="818" spans="1:28" x14ac:dyDescent="0.35">
      <c r="A818" t="s">
        <v>866</v>
      </c>
      <c r="B818">
        <v>48</v>
      </c>
      <c r="C818" t="s">
        <v>15</v>
      </c>
      <c r="D818" t="s">
        <v>53</v>
      </c>
      <c r="E818" t="s">
        <v>17</v>
      </c>
      <c r="F818" t="s">
        <v>27</v>
      </c>
      <c r="G818" s="1">
        <v>45807</v>
      </c>
      <c r="H818" s="1">
        <v>45816</v>
      </c>
      <c r="I818" s="4">
        <v>9245</v>
      </c>
      <c r="J818" t="s">
        <v>28</v>
      </c>
      <c r="K818" t="s">
        <v>20</v>
      </c>
      <c r="L818" t="s">
        <v>48</v>
      </c>
      <c r="M818" t="s">
        <v>22</v>
      </c>
      <c r="N818">
        <v>5</v>
      </c>
      <c r="X818">
        <v>5</v>
      </c>
      <c r="AB818" t="str">
        <f t="shared" si="12"/>
        <v>May</v>
      </c>
    </row>
    <row r="819" spans="1:28" x14ac:dyDescent="0.35">
      <c r="A819" t="s">
        <v>867</v>
      </c>
      <c r="B819">
        <v>19</v>
      </c>
      <c r="C819" t="s">
        <v>24</v>
      </c>
      <c r="D819" t="s">
        <v>58</v>
      </c>
      <c r="E819" t="s">
        <v>26</v>
      </c>
      <c r="F819" t="s">
        <v>18</v>
      </c>
      <c r="G819" s="1">
        <v>45734</v>
      </c>
      <c r="H819" s="1">
        <v>45754</v>
      </c>
      <c r="I819" s="4">
        <v>89210</v>
      </c>
      <c r="J819" t="s">
        <v>37</v>
      </c>
      <c r="K819" t="s">
        <v>63</v>
      </c>
      <c r="L819" t="s">
        <v>48</v>
      </c>
      <c r="M819" t="s">
        <v>38</v>
      </c>
      <c r="N819">
        <v>1</v>
      </c>
      <c r="X819">
        <v>3</v>
      </c>
      <c r="AB819" t="str">
        <f t="shared" si="12"/>
        <v>Mar</v>
      </c>
    </row>
    <row r="820" spans="1:28" x14ac:dyDescent="0.35">
      <c r="A820" t="s">
        <v>868</v>
      </c>
      <c r="B820">
        <v>23</v>
      </c>
      <c r="C820" t="s">
        <v>15</v>
      </c>
      <c r="D820" t="s">
        <v>50</v>
      </c>
      <c r="E820" t="s">
        <v>32</v>
      </c>
      <c r="F820" t="s">
        <v>36</v>
      </c>
      <c r="G820" s="1">
        <v>45711</v>
      </c>
      <c r="H820" s="1">
        <v>45719</v>
      </c>
      <c r="I820" s="4">
        <v>196937</v>
      </c>
      <c r="J820" t="s">
        <v>61</v>
      </c>
      <c r="K820" t="s">
        <v>63</v>
      </c>
      <c r="L820" t="s">
        <v>43</v>
      </c>
      <c r="M820" t="s">
        <v>22</v>
      </c>
      <c r="N820">
        <v>5</v>
      </c>
      <c r="X820">
        <v>2</v>
      </c>
      <c r="AB820" t="str">
        <f t="shared" si="12"/>
        <v>Feb</v>
      </c>
    </row>
    <row r="821" spans="1:28" x14ac:dyDescent="0.35">
      <c r="A821" t="s">
        <v>869</v>
      </c>
      <c r="B821">
        <v>22</v>
      </c>
      <c r="C821" t="s">
        <v>15</v>
      </c>
      <c r="D821" t="s">
        <v>50</v>
      </c>
      <c r="E821" t="s">
        <v>26</v>
      </c>
      <c r="F821" t="s">
        <v>27</v>
      </c>
      <c r="G821" s="1">
        <v>45407</v>
      </c>
      <c r="H821" s="1">
        <v>45415</v>
      </c>
      <c r="I821" s="4">
        <v>172619</v>
      </c>
      <c r="J821" t="s">
        <v>28</v>
      </c>
      <c r="K821" t="s">
        <v>63</v>
      </c>
      <c r="L821" t="s">
        <v>48</v>
      </c>
      <c r="M821" t="s">
        <v>64</v>
      </c>
      <c r="N821">
        <v>1</v>
      </c>
      <c r="X821">
        <v>4</v>
      </c>
      <c r="AB821" t="str">
        <f t="shared" si="12"/>
        <v>Apr</v>
      </c>
    </row>
    <row r="822" spans="1:28" x14ac:dyDescent="0.35">
      <c r="A822" t="s">
        <v>870</v>
      </c>
      <c r="B822">
        <v>63</v>
      </c>
      <c r="C822" t="s">
        <v>24</v>
      </c>
      <c r="D822" t="s">
        <v>16</v>
      </c>
      <c r="E822" t="s">
        <v>32</v>
      </c>
      <c r="F822" t="s">
        <v>56</v>
      </c>
      <c r="G822" s="1">
        <v>45598</v>
      </c>
      <c r="H822" s="1">
        <v>45604</v>
      </c>
      <c r="I822" s="4">
        <v>76521</v>
      </c>
      <c r="J822" t="s">
        <v>61</v>
      </c>
      <c r="K822" t="s">
        <v>20</v>
      </c>
      <c r="L822" t="s">
        <v>33</v>
      </c>
      <c r="M822" t="s">
        <v>22</v>
      </c>
      <c r="N822">
        <v>2</v>
      </c>
      <c r="X822">
        <v>11</v>
      </c>
      <c r="AB822" t="str">
        <f t="shared" si="12"/>
        <v>Nov</v>
      </c>
    </row>
    <row r="823" spans="1:28" x14ac:dyDescent="0.35">
      <c r="A823" t="s">
        <v>871</v>
      </c>
      <c r="B823">
        <v>85</v>
      </c>
      <c r="C823" t="s">
        <v>15</v>
      </c>
      <c r="D823" t="s">
        <v>25</v>
      </c>
      <c r="E823" t="s">
        <v>26</v>
      </c>
      <c r="F823" t="s">
        <v>18</v>
      </c>
      <c r="G823" s="1">
        <v>45896</v>
      </c>
      <c r="H823" s="1">
        <v>45908</v>
      </c>
      <c r="I823" s="4">
        <v>231195</v>
      </c>
      <c r="J823" t="s">
        <v>28</v>
      </c>
      <c r="K823" t="s">
        <v>20</v>
      </c>
      <c r="L823" t="s">
        <v>43</v>
      </c>
      <c r="M823" t="s">
        <v>22</v>
      </c>
      <c r="N823">
        <v>2</v>
      </c>
      <c r="X823">
        <v>8</v>
      </c>
      <c r="AB823" t="str">
        <f t="shared" si="12"/>
        <v>Aug</v>
      </c>
    </row>
    <row r="824" spans="1:28" x14ac:dyDescent="0.35">
      <c r="A824" t="s">
        <v>872</v>
      </c>
      <c r="B824">
        <v>69</v>
      </c>
      <c r="C824" t="s">
        <v>24</v>
      </c>
      <c r="D824" t="s">
        <v>45</v>
      </c>
      <c r="E824" t="s">
        <v>26</v>
      </c>
      <c r="F824" t="s">
        <v>36</v>
      </c>
      <c r="G824" s="1">
        <v>45851</v>
      </c>
      <c r="H824" s="1">
        <v>45861</v>
      </c>
      <c r="I824" s="4">
        <v>68456</v>
      </c>
      <c r="J824" t="s">
        <v>37</v>
      </c>
      <c r="K824" t="s">
        <v>29</v>
      </c>
      <c r="L824" t="s">
        <v>43</v>
      </c>
      <c r="M824" t="s">
        <v>22</v>
      </c>
      <c r="N824">
        <v>3</v>
      </c>
      <c r="X824">
        <v>7</v>
      </c>
      <c r="AB824" t="str">
        <f t="shared" si="12"/>
        <v>Jul</v>
      </c>
    </row>
    <row r="825" spans="1:28" x14ac:dyDescent="0.35">
      <c r="A825" t="s">
        <v>873</v>
      </c>
      <c r="B825">
        <v>58</v>
      </c>
      <c r="C825" t="s">
        <v>24</v>
      </c>
      <c r="D825" t="s">
        <v>16</v>
      </c>
      <c r="E825" t="s">
        <v>51</v>
      </c>
      <c r="F825" t="s">
        <v>27</v>
      </c>
      <c r="G825" s="1">
        <v>45334</v>
      </c>
      <c r="H825" s="1">
        <v>45344</v>
      </c>
      <c r="I825" s="4">
        <v>22440</v>
      </c>
      <c r="J825" t="s">
        <v>19</v>
      </c>
      <c r="K825" t="s">
        <v>63</v>
      </c>
      <c r="L825" t="s">
        <v>33</v>
      </c>
      <c r="M825" t="s">
        <v>22</v>
      </c>
      <c r="N825">
        <v>1</v>
      </c>
      <c r="X825">
        <v>2</v>
      </c>
      <c r="AB825" t="str">
        <f t="shared" si="12"/>
        <v>Feb</v>
      </c>
    </row>
    <row r="826" spans="1:28" x14ac:dyDescent="0.35">
      <c r="A826" t="s">
        <v>874</v>
      </c>
      <c r="B826">
        <v>24</v>
      </c>
      <c r="C826" t="s">
        <v>15</v>
      </c>
      <c r="D826" t="s">
        <v>50</v>
      </c>
      <c r="E826" t="s">
        <v>51</v>
      </c>
      <c r="F826" t="s">
        <v>36</v>
      </c>
      <c r="G826" s="1">
        <v>45805</v>
      </c>
      <c r="H826" s="1">
        <v>45814</v>
      </c>
      <c r="I826" s="4">
        <v>82105</v>
      </c>
      <c r="J826" t="s">
        <v>37</v>
      </c>
      <c r="K826" t="s">
        <v>42</v>
      </c>
      <c r="L826" t="s">
        <v>43</v>
      </c>
      <c r="M826" t="s">
        <v>22</v>
      </c>
      <c r="N826">
        <v>1</v>
      </c>
      <c r="X826">
        <v>5</v>
      </c>
      <c r="AB826" t="str">
        <f t="shared" si="12"/>
        <v>May</v>
      </c>
    </row>
    <row r="827" spans="1:28" x14ac:dyDescent="0.35">
      <c r="A827" t="s">
        <v>875</v>
      </c>
      <c r="B827">
        <v>80</v>
      </c>
      <c r="C827" t="s">
        <v>24</v>
      </c>
      <c r="D827" t="s">
        <v>58</v>
      </c>
      <c r="E827" t="s">
        <v>17</v>
      </c>
      <c r="F827" t="s">
        <v>36</v>
      </c>
      <c r="G827" s="1">
        <v>45552</v>
      </c>
      <c r="H827" s="1">
        <v>45563</v>
      </c>
      <c r="I827" s="4">
        <v>199192</v>
      </c>
      <c r="J827" t="s">
        <v>28</v>
      </c>
      <c r="K827" t="s">
        <v>20</v>
      </c>
      <c r="L827" t="s">
        <v>43</v>
      </c>
      <c r="M827" t="s">
        <v>64</v>
      </c>
      <c r="N827">
        <v>2</v>
      </c>
      <c r="X827">
        <v>9</v>
      </c>
      <c r="AB827" t="str">
        <f t="shared" si="12"/>
        <v>Sep</v>
      </c>
    </row>
    <row r="828" spans="1:28" x14ac:dyDescent="0.35">
      <c r="A828" t="s">
        <v>876</v>
      </c>
      <c r="B828">
        <v>67</v>
      </c>
      <c r="C828" t="s">
        <v>24</v>
      </c>
      <c r="D828" t="s">
        <v>45</v>
      </c>
      <c r="E828" t="s">
        <v>26</v>
      </c>
      <c r="F828" t="s">
        <v>56</v>
      </c>
      <c r="G828" s="1">
        <v>45672</v>
      </c>
      <c r="H828" s="1">
        <v>45683</v>
      </c>
      <c r="I828" s="4">
        <v>237038</v>
      </c>
      <c r="J828" t="s">
        <v>61</v>
      </c>
      <c r="K828" t="s">
        <v>63</v>
      </c>
      <c r="L828" t="s">
        <v>46</v>
      </c>
      <c r="M828" t="s">
        <v>64</v>
      </c>
      <c r="N828">
        <v>5</v>
      </c>
      <c r="X828">
        <v>1</v>
      </c>
      <c r="AB828" t="str">
        <f t="shared" si="12"/>
        <v>Jan</v>
      </c>
    </row>
    <row r="829" spans="1:28" x14ac:dyDescent="0.35">
      <c r="A829" t="s">
        <v>877</v>
      </c>
      <c r="B829">
        <v>49</v>
      </c>
      <c r="C829" t="s">
        <v>15</v>
      </c>
      <c r="D829" t="s">
        <v>45</v>
      </c>
      <c r="E829" t="s">
        <v>35</v>
      </c>
      <c r="F829" t="s">
        <v>41</v>
      </c>
      <c r="G829" s="1">
        <v>45881</v>
      </c>
      <c r="H829" s="1">
        <v>45899</v>
      </c>
      <c r="I829" s="4">
        <v>96196</v>
      </c>
      <c r="J829" t="s">
        <v>61</v>
      </c>
      <c r="K829" t="s">
        <v>42</v>
      </c>
      <c r="L829" t="s">
        <v>43</v>
      </c>
      <c r="M829" t="s">
        <v>64</v>
      </c>
      <c r="N829">
        <v>3</v>
      </c>
      <c r="X829">
        <v>8</v>
      </c>
      <c r="AB829" t="str">
        <f t="shared" si="12"/>
        <v>Aug</v>
      </c>
    </row>
    <row r="830" spans="1:28" x14ac:dyDescent="0.35">
      <c r="A830" t="s">
        <v>878</v>
      </c>
      <c r="B830">
        <v>61</v>
      </c>
      <c r="C830" t="s">
        <v>24</v>
      </c>
      <c r="D830" t="s">
        <v>45</v>
      </c>
      <c r="E830" t="s">
        <v>17</v>
      </c>
      <c r="F830" t="s">
        <v>18</v>
      </c>
      <c r="G830" s="1">
        <v>45607</v>
      </c>
      <c r="H830" s="1">
        <v>45627</v>
      </c>
      <c r="I830" s="4">
        <v>231770</v>
      </c>
      <c r="J830" t="s">
        <v>28</v>
      </c>
      <c r="K830" t="s">
        <v>20</v>
      </c>
      <c r="L830" t="s">
        <v>33</v>
      </c>
      <c r="M830" t="s">
        <v>38</v>
      </c>
      <c r="N830">
        <v>3</v>
      </c>
      <c r="X830">
        <v>11</v>
      </c>
      <c r="AB830" t="str">
        <f t="shared" si="12"/>
        <v>Nov</v>
      </c>
    </row>
    <row r="831" spans="1:28" x14ac:dyDescent="0.35">
      <c r="A831" t="s">
        <v>879</v>
      </c>
      <c r="B831">
        <v>83</v>
      </c>
      <c r="C831" t="s">
        <v>24</v>
      </c>
      <c r="D831" t="s">
        <v>16</v>
      </c>
      <c r="E831" t="s">
        <v>35</v>
      </c>
      <c r="F831" t="s">
        <v>41</v>
      </c>
      <c r="G831" s="1">
        <v>45540</v>
      </c>
      <c r="H831" s="1">
        <v>45545</v>
      </c>
      <c r="I831" s="4">
        <v>194000</v>
      </c>
      <c r="J831" t="s">
        <v>37</v>
      </c>
      <c r="K831" t="s">
        <v>42</v>
      </c>
      <c r="L831" t="s">
        <v>46</v>
      </c>
      <c r="M831" t="s">
        <v>64</v>
      </c>
      <c r="N831">
        <v>5</v>
      </c>
      <c r="X831">
        <v>9</v>
      </c>
      <c r="AB831" t="str">
        <f t="shared" si="12"/>
        <v>Sep</v>
      </c>
    </row>
    <row r="832" spans="1:28" x14ac:dyDescent="0.35">
      <c r="A832" t="s">
        <v>880</v>
      </c>
      <c r="B832">
        <v>31</v>
      </c>
      <c r="C832" t="s">
        <v>24</v>
      </c>
      <c r="D832" t="s">
        <v>45</v>
      </c>
      <c r="E832" t="s">
        <v>40</v>
      </c>
      <c r="F832" t="s">
        <v>27</v>
      </c>
      <c r="G832" s="1">
        <v>45524</v>
      </c>
      <c r="H832" s="1">
        <v>45542</v>
      </c>
      <c r="I832" s="4">
        <v>130603</v>
      </c>
      <c r="J832" t="s">
        <v>28</v>
      </c>
      <c r="K832" t="s">
        <v>29</v>
      </c>
      <c r="L832" t="s">
        <v>43</v>
      </c>
      <c r="M832" t="s">
        <v>38</v>
      </c>
      <c r="N832">
        <v>1</v>
      </c>
      <c r="X832">
        <v>8</v>
      </c>
      <c r="AB832" t="str">
        <f t="shared" si="12"/>
        <v>Aug</v>
      </c>
    </row>
    <row r="833" spans="1:28" x14ac:dyDescent="0.35">
      <c r="A833" t="s">
        <v>881</v>
      </c>
      <c r="B833">
        <v>35</v>
      </c>
      <c r="C833" t="s">
        <v>15</v>
      </c>
      <c r="D833" t="s">
        <v>50</v>
      </c>
      <c r="E833" t="s">
        <v>26</v>
      </c>
      <c r="F833" t="s">
        <v>18</v>
      </c>
      <c r="G833" s="1">
        <v>45818</v>
      </c>
      <c r="H833" s="1">
        <v>45827</v>
      </c>
      <c r="I833" s="4">
        <v>156978</v>
      </c>
      <c r="J833" t="s">
        <v>61</v>
      </c>
      <c r="K833" t="s">
        <v>29</v>
      </c>
      <c r="L833" t="s">
        <v>21</v>
      </c>
      <c r="M833" t="s">
        <v>38</v>
      </c>
      <c r="N833">
        <v>4</v>
      </c>
      <c r="X833">
        <v>6</v>
      </c>
      <c r="AB833" t="str">
        <f t="shared" si="12"/>
        <v>Jun</v>
      </c>
    </row>
    <row r="834" spans="1:28" x14ac:dyDescent="0.35">
      <c r="A834" t="s">
        <v>882</v>
      </c>
      <c r="B834">
        <v>75</v>
      </c>
      <c r="C834" t="s">
        <v>15</v>
      </c>
      <c r="D834" t="s">
        <v>53</v>
      </c>
      <c r="E834" t="s">
        <v>35</v>
      </c>
      <c r="F834" t="s">
        <v>18</v>
      </c>
      <c r="G834" s="1">
        <v>45432</v>
      </c>
      <c r="H834" s="1">
        <v>45433</v>
      </c>
      <c r="I834" s="4">
        <v>236669</v>
      </c>
      <c r="J834" t="s">
        <v>61</v>
      </c>
      <c r="K834" t="s">
        <v>29</v>
      </c>
      <c r="L834" t="s">
        <v>46</v>
      </c>
      <c r="M834" t="s">
        <v>22</v>
      </c>
      <c r="N834">
        <v>3</v>
      </c>
      <c r="X834">
        <v>5</v>
      </c>
      <c r="AB834" t="str">
        <f t="shared" si="12"/>
        <v>May</v>
      </c>
    </row>
    <row r="835" spans="1:28" x14ac:dyDescent="0.35">
      <c r="A835" t="s">
        <v>883</v>
      </c>
      <c r="B835">
        <v>30</v>
      </c>
      <c r="C835" t="s">
        <v>15</v>
      </c>
      <c r="D835" t="s">
        <v>16</v>
      </c>
      <c r="E835" t="s">
        <v>32</v>
      </c>
      <c r="F835" t="s">
        <v>27</v>
      </c>
      <c r="G835" s="1">
        <v>45871</v>
      </c>
      <c r="H835" s="1">
        <v>45876</v>
      </c>
      <c r="I835" s="4">
        <v>132765</v>
      </c>
      <c r="J835" t="s">
        <v>28</v>
      </c>
      <c r="K835" t="s">
        <v>63</v>
      </c>
      <c r="L835" t="s">
        <v>43</v>
      </c>
      <c r="M835" t="s">
        <v>22</v>
      </c>
      <c r="N835">
        <v>2</v>
      </c>
      <c r="X835">
        <v>8</v>
      </c>
      <c r="AB835" t="str">
        <f t="shared" ref="AB835:AB898" si="13">TEXT(G835,"mmm")</f>
        <v>Aug</v>
      </c>
    </row>
    <row r="836" spans="1:28" x14ac:dyDescent="0.35">
      <c r="A836" t="s">
        <v>884</v>
      </c>
      <c r="B836">
        <v>64</v>
      </c>
      <c r="C836" t="s">
        <v>15</v>
      </c>
      <c r="D836" t="s">
        <v>16</v>
      </c>
      <c r="E836" t="s">
        <v>51</v>
      </c>
      <c r="F836" t="s">
        <v>36</v>
      </c>
      <c r="G836" s="1">
        <v>45547</v>
      </c>
      <c r="H836" s="1">
        <v>45565</v>
      </c>
      <c r="I836" s="4">
        <v>224522</v>
      </c>
      <c r="J836" t="s">
        <v>37</v>
      </c>
      <c r="K836" t="s">
        <v>42</v>
      </c>
      <c r="L836" t="s">
        <v>43</v>
      </c>
      <c r="M836" t="s">
        <v>38</v>
      </c>
      <c r="N836">
        <v>1</v>
      </c>
      <c r="X836">
        <v>9</v>
      </c>
      <c r="AB836" t="str">
        <f t="shared" si="13"/>
        <v>Sep</v>
      </c>
    </row>
    <row r="837" spans="1:28" x14ac:dyDescent="0.35">
      <c r="A837" t="s">
        <v>885</v>
      </c>
      <c r="B837">
        <v>40</v>
      </c>
      <c r="C837" t="s">
        <v>24</v>
      </c>
      <c r="D837" t="s">
        <v>16</v>
      </c>
      <c r="E837" t="s">
        <v>51</v>
      </c>
      <c r="F837" t="s">
        <v>56</v>
      </c>
      <c r="G837" s="1">
        <v>45789</v>
      </c>
      <c r="H837" s="1">
        <v>45795</v>
      </c>
      <c r="I837" s="4">
        <v>215143</v>
      </c>
      <c r="J837" t="s">
        <v>19</v>
      </c>
      <c r="K837" t="s">
        <v>42</v>
      </c>
      <c r="L837" t="s">
        <v>33</v>
      </c>
      <c r="M837" t="s">
        <v>64</v>
      </c>
      <c r="N837">
        <v>5</v>
      </c>
      <c r="X837">
        <v>5</v>
      </c>
      <c r="AB837" t="str">
        <f t="shared" si="13"/>
        <v>May</v>
      </c>
    </row>
    <row r="838" spans="1:28" x14ac:dyDescent="0.35">
      <c r="A838" t="s">
        <v>886</v>
      </c>
      <c r="B838">
        <v>75</v>
      </c>
      <c r="C838" t="s">
        <v>24</v>
      </c>
      <c r="D838" t="s">
        <v>31</v>
      </c>
      <c r="E838" t="s">
        <v>17</v>
      </c>
      <c r="F838" t="s">
        <v>56</v>
      </c>
      <c r="G838" s="1">
        <v>45985</v>
      </c>
      <c r="H838" s="1">
        <v>45990</v>
      </c>
      <c r="I838" s="4">
        <v>37684</v>
      </c>
      <c r="J838" t="s">
        <v>19</v>
      </c>
      <c r="K838" t="s">
        <v>29</v>
      </c>
      <c r="L838" t="s">
        <v>33</v>
      </c>
      <c r="M838" t="s">
        <v>38</v>
      </c>
      <c r="N838">
        <v>3</v>
      </c>
      <c r="X838">
        <v>11</v>
      </c>
      <c r="AB838" t="str">
        <f t="shared" si="13"/>
        <v>Nov</v>
      </c>
    </row>
    <row r="839" spans="1:28" x14ac:dyDescent="0.35">
      <c r="A839" t="s">
        <v>887</v>
      </c>
      <c r="B839">
        <v>54</v>
      </c>
      <c r="C839" t="s">
        <v>15</v>
      </c>
      <c r="D839" t="s">
        <v>16</v>
      </c>
      <c r="E839" t="s">
        <v>26</v>
      </c>
      <c r="F839" t="s">
        <v>18</v>
      </c>
      <c r="G839" s="1">
        <v>45979</v>
      </c>
      <c r="H839" s="1">
        <v>45994</v>
      </c>
      <c r="I839" s="4">
        <v>51795</v>
      </c>
      <c r="J839" t="s">
        <v>19</v>
      </c>
      <c r="K839" t="s">
        <v>29</v>
      </c>
      <c r="L839" t="s">
        <v>43</v>
      </c>
      <c r="M839" t="s">
        <v>22</v>
      </c>
      <c r="N839">
        <v>1</v>
      </c>
      <c r="X839">
        <v>11</v>
      </c>
      <c r="AB839" t="str">
        <f t="shared" si="13"/>
        <v>Nov</v>
      </c>
    </row>
    <row r="840" spans="1:28" x14ac:dyDescent="0.35">
      <c r="A840" t="s">
        <v>888</v>
      </c>
      <c r="B840">
        <v>78</v>
      </c>
      <c r="C840" t="s">
        <v>24</v>
      </c>
      <c r="D840" t="s">
        <v>31</v>
      </c>
      <c r="E840" t="s">
        <v>40</v>
      </c>
      <c r="F840" t="s">
        <v>41</v>
      </c>
      <c r="G840" s="1">
        <v>45729</v>
      </c>
      <c r="H840" s="1">
        <v>45736</v>
      </c>
      <c r="I840" s="4">
        <v>190005</v>
      </c>
      <c r="J840" t="s">
        <v>28</v>
      </c>
      <c r="K840" t="s">
        <v>63</v>
      </c>
      <c r="L840" t="s">
        <v>33</v>
      </c>
      <c r="M840" t="s">
        <v>22</v>
      </c>
      <c r="N840">
        <v>3</v>
      </c>
      <c r="X840">
        <v>3</v>
      </c>
      <c r="AB840" t="str">
        <f t="shared" si="13"/>
        <v>Mar</v>
      </c>
    </row>
    <row r="841" spans="1:28" x14ac:dyDescent="0.35">
      <c r="A841" t="s">
        <v>889</v>
      </c>
      <c r="B841">
        <v>84</v>
      </c>
      <c r="C841" t="s">
        <v>24</v>
      </c>
      <c r="D841" t="s">
        <v>25</v>
      </c>
      <c r="E841" t="s">
        <v>35</v>
      </c>
      <c r="F841" t="s">
        <v>27</v>
      </c>
      <c r="G841" s="1">
        <v>45770</v>
      </c>
      <c r="H841" s="1">
        <v>45771</v>
      </c>
      <c r="I841" s="4">
        <v>185148</v>
      </c>
      <c r="J841" t="s">
        <v>19</v>
      </c>
      <c r="K841" t="s">
        <v>42</v>
      </c>
      <c r="L841" t="s">
        <v>43</v>
      </c>
      <c r="M841" t="s">
        <v>22</v>
      </c>
      <c r="N841">
        <v>3</v>
      </c>
      <c r="X841">
        <v>4</v>
      </c>
      <c r="AB841" t="str">
        <f t="shared" si="13"/>
        <v>Apr</v>
      </c>
    </row>
    <row r="842" spans="1:28" x14ac:dyDescent="0.35">
      <c r="A842" t="s">
        <v>890</v>
      </c>
      <c r="B842">
        <v>51</v>
      </c>
      <c r="C842" t="s">
        <v>15</v>
      </c>
      <c r="D842" t="s">
        <v>16</v>
      </c>
      <c r="E842" t="s">
        <v>17</v>
      </c>
      <c r="F842" t="s">
        <v>41</v>
      </c>
      <c r="G842" s="1">
        <v>45593</v>
      </c>
      <c r="H842" s="1">
        <v>45596</v>
      </c>
      <c r="I842" s="4">
        <v>213659</v>
      </c>
      <c r="J842" t="s">
        <v>28</v>
      </c>
      <c r="K842" t="s">
        <v>29</v>
      </c>
      <c r="L842" t="s">
        <v>43</v>
      </c>
      <c r="M842" t="s">
        <v>64</v>
      </c>
      <c r="N842">
        <v>5</v>
      </c>
      <c r="X842">
        <v>10</v>
      </c>
      <c r="AB842" t="str">
        <f t="shared" si="13"/>
        <v>Oct</v>
      </c>
    </row>
    <row r="843" spans="1:28" x14ac:dyDescent="0.35">
      <c r="A843" t="s">
        <v>891</v>
      </c>
      <c r="B843">
        <v>74</v>
      </c>
      <c r="C843" t="s">
        <v>15</v>
      </c>
      <c r="D843" t="s">
        <v>45</v>
      </c>
      <c r="E843" t="s">
        <v>51</v>
      </c>
      <c r="F843" t="s">
        <v>36</v>
      </c>
      <c r="G843" s="1">
        <v>45879</v>
      </c>
      <c r="H843" s="1">
        <v>45888</v>
      </c>
      <c r="I843" s="4">
        <v>42895</v>
      </c>
      <c r="J843" t="s">
        <v>28</v>
      </c>
      <c r="K843" t="s">
        <v>29</v>
      </c>
      <c r="L843" t="s">
        <v>43</v>
      </c>
      <c r="M843" t="s">
        <v>38</v>
      </c>
      <c r="N843">
        <v>5</v>
      </c>
      <c r="X843">
        <v>8</v>
      </c>
      <c r="AB843" t="str">
        <f t="shared" si="13"/>
        <v>Aug</v>
      </c>
    </row>
    <row r="844" spans="1:28" x14ac:dyDescent="0.35">
      <c r="A844" t="s">
        <v>892</v>
      </c>
      <c r="B844">
        <v>59</v>
      </c>
      <c r="C844" t="s">
        <v>15</v>
      </c>
      <c r="D844" t="s">
        <v>58</v>
      </c>
      <c r="E844" t="s">
        <v>51</v>
      </c>
      <c r="F844" t="s">
        <v>41</v>
      </c>
      <c r="G844" s="1">
        <v>45948</v>
      </c>
      <c r="H844" s="1">
        <v>45956</v>
      </c>
      <c r="I844" s="4">
        <v>201112</v>
      </c>
      <c r="J844" t="s">
        <v>37</v>
      </c>
      <c r="K844" t="s">
        <v>20</v>
      </c>
      <c r="L844" t="s">
        <v>33</v>
      </c>
      <c r="M844" t="s">
        <v>22</v>
      </c>
      <c r="N844">
        <v>3</v>
      </c>
      <c r="X844">
        <v>10</v>
      </c>
      <c r="AB844" t="str">
        <f t="shared" si="13"/>
        <v>Oct</v>
      </c>
    </row>
    <row r="845" spans="1:28" x14ac:dyDescent="0.35">
      <c r="A845" t="s">
        <v>893</v>
      </c>
      <c r="B845">
        <v>44</v>
      </c>
      <c r="C845" t="s">
        <v>24</v>
      </c>
      <c r="D845" t="s">
        <v>25</v>
      </c>
      <c r="E845" t="s">
        <v>17</v>
      </c>
      <c r="F845" t="s">
        <v>41</v>
      </c>
      <c r="G845" s="1">
        <v>45963</v>
      </c>
      <c r="H845" s="1">
        <v>45971</v>
      </c>
      <c r="I845" s="4">
        <v>211728</v>
      </c>
      <c r="J845" t="s">
        <v>37</v>
      </c>
      <c r="K845" t="s">
        <v>29</v>
      </c>
      <c r="L845" t="s">
        <v>48</v>
      </c>
      <c r="M845" t="s">
        <v>22</v>
      </c>
      <c r="N845">
        <v>4</v>
      </c>
      <c r="X845">
        <v>11</v>
      </c>
      <c r="AB845" t="str">
        <f t="shared" si="13"/>
        <v>Nov</v>
      </c>
    </row>
    <row r="846" spans="1:28" x14ac:dyDescent="0.35">
      <c r="A846" t="s">
        <v>894</v>
      </c>
      <c r="B846">
        <v>85</v>
      </c>
      <c r="C846" t="s">
        <v>24</v>
      </c>
      <c r="D846" t="s">
        <v>16</v>
      </c>
      <c r="E846" t="s">
        <v>51</v>
      </c>
      <c r="F846" t="s">
        <v>27</v>
      </c>
      <c r="G846" s="1">
        <v>46002</v>
      </c>
      <c r="H846" s="1">
        <v>46005</v>
      </c>
      <c r="I846" s="4">
        <v>41020</v>
      </c>
      <c r="J846" t="s">
        <v>61</v>
      </c>
      <c r="K846" t="s">
        <v>42</v>
      </c>
      <c r="L846" t="s">
        <v>48</v>
      </c>
      <c r="M846" t="s">
        <v>22</v>
      </c>
      <c r="N846">
        <v>2</v>
      </c>
      <c r="X846">
        <v>12</v>
      </c>
      <c r="AB846" t="str">
        <f t="shared" si="13"/>
        <v>Dec</v>
      </c>
    </row>
    <row r="847" spans="1:28" x14ac:dyDescent="0.35">
      <c r="A847" t="s">
        <v>895</v>
      </c>
      <c r="B847">
        <v>36</v>
      </c>
      <c r="C847" t="s">
        <v>15</v>
      </c>
      <c r="D847" t="s">
        <v>50</v>
      </c>
      <c r="E847" t="s">
        <v>26</v>
      </c>
      <c r="F847" t="s">
        <v>41</v>
      </c>
      <c r="G847" s="1">
        <v>45707</v>
      </c>
      <c r="H847" s="1">
        <v>45719</v>
      </c>
      <c r="I847" s="4">
        <v>199051</v>
      </c>
      <c r="J847" t="s">
        <v>28</v>
      </c>
      <c r="K847" t="s">
        <v>29</v>
      </c>
      <c r="L847" t="s">
        <v>21</v>
      </c>
      <c r="M847" t="s">
        <v>64</v>
      </c>
      <c r="N847">
        <v>4</v>
      </c>
      <c r="X847">
        <v>2</v>
      </c>
      <c r="AB847" t="str">
        <f t="shared" si="13"/>
        <v>Feb</v>
      </c>
    </row>
    <row r="848" spans="1:28" x14ac:dyDescent="0.35">
      <c r="A848" t="s">
        <v>896</v>
      </c>
      <c r="B848">
        <v>22</v>
      </c>
      <c r="C848" t="s">
        <v>24</v>
      </c>
      <c r="D848" t="s">
        <v>25</v>
      </c>
      <c r="E848" t="s">
        <v>51</v>
      </c>
      <c r="F848" t="s">
        <v>56</v>
      </c>
      <c r="G848" s="1">
        <v>45404</v>
      </c>
      <c r="H848" s="1">
        <v>45410</v>
      </c>
      <c r="I848" s="4">
        <v>192282</v>
      </c>
      <c r="J848" t="s">
        <v>37</v>
      </c>
      <c r="K848" t="s">
        <v>29</v>
      </c>
      <c r="L848" t="s">
        <v>48</v>
      </c>
      <c r="M848" t="s">
        <v>64</v>
      </c>
      <c r="N848">
        <v>5</v>
      </c>
      <c r="X848">
        <v>4</v>
      </c>
      <c r="AB848" t="str">
        <f t="shared" si="13"/>
        <v>Apr</v>
      </c>
    </row>
    <row r="849" spans="1:28" x14ac:dyDescent="0.35">
      <c r="A849" t="s">
        <v>897</v>
      </c>
      <c r="B849">
        <v>19</v>
      </c>
      <c r="C849" t="s">
        <v>24</v>
      </c>
      <c r="D849" t="s">
        <v>31</v>
      </c>
      <c r="E849" t="s">
        <v>35</v>
      </c>
      <c r="F849" t="s">
        <v>41</v>
      </c>
      <c r="G849" s="1">
        <v>45807</v>
      </c>
      <c r="H849" s="1">
        <v>45827</v>
      </c>
      <c r="I849" s="4">
        <v>219494</v>
      </c>
      <c r="J849" t="s">
        <v>61</v>
      </c>
      <c r="K849" t="s">
        <v>29</v>
      </c>
      <c r="L849" t="s">
        <v>21</v>
      </c>
      <c r="M849" t="s">
        <v>22</v>
      </c>
      <c r="N849">
        <v>3</v>
      </c>
      <c r="X849">
        <v>5</v>
      </c>
      <c r="AB849" t="str">
        <f t="shared" si="13"/>
        <v>May</v>
      </c>
    </row>
    <row r="850" spans="1:28" x14ac:dyDescent="0.35">
      <c r="A850" t="s">
        <v>898</v>
      </c>
      <c r="B850">
        <v>46</v>
      </c>
      <c r="C850" t="s">
        <v>24</v>
      </c>
      <c r="D850" t="s">
        <v>45</v>
      </c>
      <c r="E850" t="s">
        <v>35</v>
      </c>
      <c r="F850" t="s">
        <v>27</v>
      </c>
      <c r="G850" s="1">
        <v>45333</v>
      </c>
      <c r="H850" s="1">
        <v>45335</v>
      </c>
      <c r="I850" s="4">
        <v>174726</v>
      </c>
      <c r="J850" t="s">
        <v>37</v>
      </c>
      <c r="K850" t="s">
        <v>20</v>
      </c>
      <c r="L850" t="s">
        <v>21</v>
      </c>
      <c r="M850" t="s">
        <v>22</v>
      </c>
      <c r="N850">
        <v>4</v>
      </c>
      <c r="X850">
        <v>2</v>
      </c>
      <c r="AB850" t="str">
        <f t="shared" si="13"/>
        <v>Feb</v>
      </c>
    </row>
    <row r="851" spans="1:28" x14ac:dyDescent="0.35">
      <c r="A851" t="s">
        <v>899</v>
      </c>
      <c r="B851">
        <v>47</v>
      </c>
      <c r="C851" t="s">
        <v>24</v>
      </c>
      <c r="D851" t="s">
        <v>25</v>
      </c>
      <c r="E851" t="s">
        <v>32</v>
      </c>
      <c r="F851" t="s">
        <v>27</v>
      </c>
      <c r="G851" s="1">
        <v>45745</v>
      </c>
      <c r="H851" s="1">
        <v>45748</v>
      </c>
      <c r="I851" s="4">
        <v>180698</v>
      </c>
      <c r="J851" t="s">
        <v>37</v>
      </c>
      <c r="K851" t="s">
        <v>20</v>
      </c>
      <c r="L851" t="s">
        <v>33</v>
      </c>
      <c r="M851" t="s">
        <v>64</v>
      </c>
      <c r="N851">
        <v>5</v>
      </c>
      <c r="X851">
        <v>3</v>
      </c>
      <c r="AB851" t="str">
        <f t="shared" si="13"/>
        <v>Mar</v>
      </c>
    </row>
    <row r="852" spans="1:28" x14ac:dyDescent="0.35">
      <c r="A852" t="s">
        <v>900</v>
      </c>
      <c r="B852">
        <v>49</v>
      </c>
      <c r="C852" t="s">
        <v>24</v>
      </c>
      <c r="D852" t="s">
        <v>58</v>
      </c>
      <c r="E852" t="s">
        <v>40</v>
      </c>
      <c r="F852" t="s">
        <v>36</v>
      </c>
      <c r="G852" s="1">
        <v>45880</v>
      </c>
      <c r="H852" s="1">
        <v>45886</v>
      </c>
      <c r="I852" s="4">
        <v>8182</v>
      </c>
      <c r="J852" t="s">
        <v>61</v>
      </c>
      <c r="K852" t="s">
        <v>20</v>
      </c>
      <c r="L852" t="s">
        <v>43</v>
      </c>
      <c r="M852" t="s">
        <v>22</v>
      </c>
      <c r="N852">
        <v>4</v>
      </c>
      <c r="X852">
        <v>8</v>
      </c>
      <c r="AB852" t="str">
        <f t="shared" si="13"/>
        <v>Aug</v>
      </c>
    </row>
    <row r="853" spans="1:28" x14ac:dyDescent="0.35">
      <c r="A853" t="s">
        <v>901</v>
      </c>
      <c r="B853">
        <v>57</v>
      </c>
      <c r="C853" t="s">
        <v>24</v>
      </c>
      <c r="D853" t="s">
        <v>25</v>
      </c>
      <c r="E853" t="s">
        <v>32</v>
      </c>
      <c r="F853" t="s">
        <v>18</v>
      </c>
      <c r="G853" s="1">
        <v>45350</v>
      </c>
      <c r="H853" s="1">
        <v>45369</v>
      </c>
      <c r="I853" s="4">
        <v>190512</v>
      </c>
      <c r="J853" t="s">
        <v>28</v>
      </c>
      <c r="K853" t="s">
        <v>63</v>
      </c>
      <c r="L853" t="s">
        <v>33</v>
      </c>
      <c r="M853" t="s">
        <v>22</v>
      </c>
      <c r="N853">
        <v>1</v>
      </c>
      <c r="X853">
        <v>2</v>
      </c>
      <c r="AB853" t="str">
        <f t="shared" si="13"/>
        <v>Feb</v>
      </c>
    </row>
    <row r="854" spans="1:28" x14ac:dyDescent="0.35">
      <c r="A854" t="s">
        <v>902</v>
      </c>
      <c r="B854">
        <v>21</v>
      </c>
      <c r="C854" t="s">
        <v>15</v>
      </c>
      <c r="D854" t="s">
        <v>53</v>
      </c>
      <c r="E854" t="s">
        <v>26</v>
      </c>
      <c r="F854" t="s">
        <v>56</v>
      </c>
      <c r="G854" s="1">
        <v>45697</v>
      </c>
      <c r="H854" s="1">
        <v>45698</v>
      </c>
      <c r="I854" s="4">
        <v>234637</v>
      </c>
      <c r="J854" t="s">
        <v>28</v>
      </c>
      <c r="K854" t="s">
        <v>42</v>
      </c>
      <c r="L854" t="s">
        <v>48</v>
      </c>
      <c r="M854" t="s">
        <v>64</v>
      </c>
      <c r="N854">
        <v>5</v>
      </c>
      <c r="X854">
        <v>2</v>
      </c>
      <c r="AB854" t="str">
        <f t="shared" si="13"/>
        <v>Feb</v>
      </c>
    </row>
    <row r="855" spans="1:28" x14ac:dyDescent="0.35">
      <c r="A855" t="s">
        <v>903</v>
      </c>
      <c r="B855">
        <v>22</v>
      </c>
      <c r="C855" t="s">
        <v>24</v>
      </c>
      <c r="D855" t="s">
        <v>50</v>
      </c>
      <c r="E855" t="s">
        <v>32</v>
      </c>
      <c r="F855" t="s">
        <v>18</v>
      </c>
      <c r="G855" s="1">
        <v>45860</v>
      </c>
      <c r="H855" s="1">
        <v>45868</v>
      </c>
      <c r="I855" s="4">
        <v>124402</v>
      </c>
      <c r="J855" t="s">
        <v>61</v>
      </c>
      <c r="K855" t="s">
        <v>20</v>
      </c>
      <c r="L855" t="s">
        <v>43</v>
      </c>
      <c r="M855" t="s">
        <v>64</v>
      </c>
      <c r="N855">
        <v>3</v>
      </c>
      <c r="X855">
        <v>7</v>
      </c>
      <c r="AB855" t="str">
        <f t="shared" si="13"/>
        <v>Jul</v>
      </c>
    </row>
    <row r="856" spans="1:28" x14ac:dyDescent="0.35">
      <c r="A856" t="s">
        <v>904</v>
      </c>
      <c r="B856">
        <v>19</v>
      </c>
      <c r="C856" t="s">
        <v>15</v>
      </c>
      <c r="D856" t="s">
        <v>16</v>
      </c>
      <c r="E856" t="s">
        <v>35</v>
      </c>
      <c r="F856" t="s">
        <v>41</v>
      </c>
      <c r="G856" s="1">
        <v>45884</v>
      </c>
      <c r="H856" s="1">
        <v>45889</v>
      </c>
      <c r="I856" s="4">
        <v>123495</v>
      </c>
      <c r="J856" t="s">
        <v>61</v>
      </c>
      <c r="K856" t="s">
        <v>20</v>
      </c>
      <c r="L856" t="s">
        <v>33</v>
      </c>
      <c r="M856" t="s">
        <v>64</v>
      </c>
      <c r="N856">
        <v>5</v>
      </c>
      <c r="X856">
        <v>8</v>
      </c>
      <c r="AB856" t="str">
        <f t="shared" si="13"/>
        <v>Aug</v>
      </c>
    </row>
    <row r="857" spans="1:28" x14ac:dyDescent="0.35">
      <c r="A857" t="s">
        <v>905</v>
      </c>
      <c r="B857">
        <v>64</v>
      </c>
      <c r="C857" t="s">
        <v>24</v>
      </c>
      <c r="D857" t="s">
        <v>50</v>
      </c>
      <c r="E857" t="s">
        <v>17</v>
      </c>
      <c r="F857" t="s">
        <v>56</v>
      </c>
      <c r="G857" s="1">
        <v>45922</v>
      </c>
      <c r="H857" s="1">
        <v>45932</v>
      </c>
      <c r="I857" s="4">
        <v>79830</v>
      </c>
      <c r="J857" t="s">
        <v>61</v>
      </c>
      <c r="K857" t="s">
        <v>42</v>
      </c>
      <c r="L857" t="s">
        <v>43</v>
      </c>
      <c r="M857" t="s">
        <v>38</v>
      </c>
      <c r="N857">
        <v>4</v>
      </c>
      <c r="X857">
        <v>9</v>
      </c>
      <c r="AB857" t="str">
        <f t="shared" si="13"/>
        <v>Sep</v>
      </c>
    </row>
    <row r="858" spans="1:28" x14ac:dyDescent="0.35">
      <c r="A858" t="s">
        <v>906</v>
      </c>
      <c r="B858">
        <v>21</v>
      </c>
      <c r="C858" t="s">
        <v>15</v>
      </c>
      <c r="D858" t="s">
        <v>53</v>
      </c>
      <c r="E858" t="s">
        <v>40</v>
      </c>
      <c r="F858" t="s">
        <v>36</v>
      </c>
      <c r="G858" s="1">
        <v>45792</v>
      </c>
      <c r="H858" s="1">
        <v>45811</v>
      </c>
      <c r="I858" s="4">
        <v>172531</v>
      </c>
      <c r="J858" t="s">
        <v>19</v>
      </c>
      <c r="K858" t="s">
        <v>20</v>
      </c>
      <c r="L858" t="s">
        <v>33</v>
      </c>
      <c r="M858" t="s">
        <v>22</v>
      </c>
      <c r="N858">
        <v>4</v>
      </c>
      <c r="X858">
        <v>5</v>
      </c>
      <c r="AB858" t="str">
        <f t="shared" si="13"/>
        <v>May</v>
      </c>
    </row>
    <row r="859" spans="1:28" x14ac:dyDescent="0.35">
      <c r="A859" t="s">
        <v>907</v>
      </c>
      <c r="B859">
        <v>78</v>
      </c>
      <c r="C859" t="s">
        <v>15</v>
      </c>
      <c r="D859" t="s">
        <v>58</v>
      </c>
      <c r="E859" t="s">
        <v>51</v>
      </c>
      <c r="F859" t="s">
        <v>18</v>
      </c>
      <c r="G859" s="1">
        <v>45835</v>
      </c>
      <c r="H859" s="1">
        <v>45843</v>
      </c>
      <c r="I859" s="4">
        <v>82887</v>
      </c>
      <c r="J859" t="s">
        <v>61</v>
      </c>
      <c r="K859" t="s">
        <v>42</v>
      </c>
      <c r="L859" t="s">
        <v>21</v>
      </c>
      <c r="M859" t="s">
        <v>38</v>
      </c>
      <c r="N859">
        <v>2</v>
      </c>
      <c r="X859">
        <v>6</v>
      </c>
      <c r="AB859" t="str">
        <f t="shared" si="13"/>
        <v>Jun</v>
      </c>
    </row>
    <row r="860" spans="1:28" x14ac:dyDescent="0.35">
      <c r="A860" t="s">
        <v>908</v>
      </c>
      <c r="B860">
        <v>42</v>
      </c>
      <c r="C860" t="s">
        <v>15</v>
      </c>
      <c r="D860" t="s">
        <v>50</v>
      </c>
      <c r="E860" t="s">
        <v>35</v>
      </c>
      <c r="F860" t="s">
        <v>56</v>
      </c>
      <c r="G860" s="1">
        <v>45913</v>
      </c>
      <c r="H860" s="1">
        <v>45914</v>
      </c>
      <c r="I860" s="4">
        <v>33821</v>
      </c>
      <c r="J860" t="s">
        <v>19</v>
      </c>
      <c r="K860" t="s">
        <v>20</v>
      </c>
      <c r="L860" t="s">
        <v>33</v>
      </c>
      <c r="M860" t="s">
        <v>64</v>
      </c>
      <c r="N860">
        <v>2</v>
      </c>
      <c r="X860">
        <v>9</v>
      </c>
      <c r="AB860" t="str">
        <f t="shared" si="13"/>
        <v>Sep</v>
      </c>
    </row>
    <row r="861" spans="1:28" x14ac:dyDescent="0.35">
      <c r="A861" t="s">
        <v>909</v>
      </c>
      <c r="B861">
        <v>27</v>
      </c>
      <c r="C861" t="s">
        <v>24</v>
      </c>
      <c r="D861" t="s">
        <v>50</v>
      </c>
      <c r="E861" t="s">
        <v>40</v>
      </c>
      <c r="F861" t="s">
        <v>36</v>
      </c>
      <c r="G861" s="1">
        <v>45342</v>
      </c>
      <c r="H861" s="1">
        <v>45344</v>
      </c>
      <c r="I861" s="4">
        <v>156009</v>
      </c>
      <c r="J861" t="s">
        <v>37</v>
      </c>
      <c r="K861" t="s">
        <v>42</v>
      </c>
      <c r="L861" t="s">
        <v>43</v>
      </c>
      <c r="M861" t="s">
        <v>38</v>
      </c>
      <c r="N861">
        <v>3</v>
      </c>
      <c r="X861">
        <v>2</v>
      </c>
      <c r="AB861" t="str">
        <f t="shared" si="13"/>
        <v>Feb</v>
      </c>
    </row>
    <row r="862" spans="1:28" x14ac:dyDescent="0.35">
      <c r="A862" t="s">
        <v>910</v>
      </c>
      <c r="B862">
        <v>52</v>
      </c>
      <c r="C862" t="s">
        <v>15</v>
      </c>
      <c r="D862" t="s">
        <v>25</v>
      </c>
      <c r="E862" t="s">
        <v>32</v>
      </c>
      <c r="F862" t="s">
        <v>27</v>
      </c>
      <c r="G862" s="1">
        <v>45581</v>
      </c>
      <c r="H862" s="1">
        <v>45589</v>
      </c>
      <c r="I862" s="4">
        <v>160549</v>
      </c>
      <c r="J862" t="s">
        <v>28</v>
      </c>
      <c r="K862" t="s">
        <v>63</v>
      </c>
      <c r="L862" t="s">
        <v>46</v>
      </c>
      <c r="M862" t="s">
        <v>64</v>
      </c>
      <c r="N862">
        <v>5</v>
      </c>
      <c r="X862">
        <v>10</v>
      </c>
      <c r="AB862" t="str">
        <f t="shared" si="13"/>
        <v>Oct</v>
      </c>
    </row>
    <row r="863" spans="1:28" x14ac:dyDescent="0.35">
      <c r="A863" t="s">
        <v>911</v>
      </c>
      <c r="B863">
        <v>68</v>
      </c>
      <c r="C863" t="s">
        <v>15</v>
      </c>
      <c r="D863" t="s">
        <v>50</v>
      </c>
      <c r="E863" t="s">
        <v>35</v>
      </c>
      <c r="F863" t="s">
        <v>18</v>
      </c>
      <c r="G863" s="1">
        <v>45578</v>
      </c>
      <c r="H863" s="1">
        <v>45590</v>
      </c>
      <c r="I863" s="4">
        <v>238333</v>
      </c>
      <c r="J863" t="s">
        <v>28</v>
      </c>
      <c r="K863" t="s">
        <v>20</v>
      </c>
      <c r="L863" t="s">
        <v>21</v>
      </c>
      <c r="M863" t="s">
        <v>22</v>
      </c>
      <c r="N863">
        <v>3</v>
      </c>
      <c r="X863">
        <v>10</v>
      </c>
      <c r="AB863" t="str">
        <f t="shared" si="13"/>
        <v>Oct</v>
      </c>
    </row>
    <row r="864" spans="1:28" x14ac:dyDescent="0.35">
      <c r="A864" t="s">
        <v>912</v>
      </c>
      <c r="B864">
        <v>26</v>
      </c>
      <c r="C864" t="s">
        <v>24</v>
      </c>
      <c r="D864" t="s">
        <v>50</v>
      </c>
      <c r="E864" t="s">
        <v>32</v>
      </c>
      <c r="F864" t="s">
        <v>36</v>
      </c>
      <c r="G864" s="1">
        <v>45499</v>
      </c>
      <c r="H864" s="1">
        <v>45506</v>
      </c>
      <c r="I864" s="4">
        <v>106863</v>
      </c>
      <c r="J864" t="s">
        <v>19</v>
      </c>
      <c r="K864" t="s">
        <v>29</v>
      </c>
      <c r="L864" t="s">
        <v>48</v>
      </c>
      <c r="M864" t="s">
        <v>38</v>
      </c>
      <c r="N864">
        <v>2</v>
      </c>
      <c r="X864">
        <v>7</v>
      </c>
      <c r="AB864" t="str">
        <f t="shared" si="13"/>
        <v>Jul</v>
      </c>
    </row>
    <row r="865" spans="1:28" x14ac:dyDescent="0.35">
      <c r="A865" t="s">
        <v>913</v>
      </c>
      <c r="B865">
        <v>67</v>
      </c>
      <c r="C865" t="s">
        <v>15</v>
      </c>
      <c r="D865" t="s">
        <v>31</v>
      </c>
      <c r="E865" t="s">
        <v>32</v>
      </c>
      <c r="F865" t="s">
        <v>18</v>
      </c>
      <c r="G865" s="1">
        <v>45662</v>
      </c>
      <c r="H865" s="1">
        <v>45680</v>
      </c>
      <c r="I865" s="4">
        <v>177833</v>
      </c>
      <c r="J865" t="s">
        <v>28</v>
      </c>
      <c r="K865" t="s">
        <v>20</v>
      </c>
      <c r="L865" t="s">
        <v>43</v>
      </c>
      <c r="M865" t="s">
        <v>64</v>
      </c>
      <c r="N865">
        <v>1</v>
      </c>
      <c r="X865">
        <v>1</v>
      </c>
      <c r="AB865" t="str">
        <f t="shared" si="13"/>
        <v>Jan</v>
      </c>
    </row>
    <row r="866" spans="1:28" x14ac:dyDescent="0.35">
      <c r="A866" t="s">
        <v>914</v>
      </c>
      <c r="B866">
        <v>41</v>
      </c>
      <c r="C866" t="s">
        <v>24</v>
      </c>
      <c r="D866" t="s">
        <v>16</v>
      </c>
      <c r="E866" t="s">
        <v>32</v>
      </c>
      <c r="F866" t="s">
        <v>41</v>
      </c>
      <c r="G866" s="1">
        <v>45739</v>
      </c>
      <c r="H866" s="1">
        <v>45741</v>
      </c>
      <c r="I866" s="4">
        <v>171488</v>
      </c>
      <c r="J866" t="s">
        <v>37</v>
      </c>
      <c r="K866" t="s">
        <v>63</v>
      </c>
      <c r="L866" t="s">
        <v>48</v>
      </c>
      <c r="M866" t="s">
        <v>22</v>
      </c>
      <c r="N866">
        <v>2</v>
      </c>
      <c r="X866">
        <v>3</v>
      </c>
      <c r="AB866" t="str">
        <f t="shared" si="13"/>
        <v>Mar</v>
      </c>
    </row>
    <row r="867" spans="1:28" x14ac:dyDescent="0.35">
      <c r="A867" t="s">
        <v>915</v>
      </c>
      <c r="B867">
        <v>29</v>
      </c>
      <c r="C867" t="s">
        <v>15</v>
      </c>
      <c r="D867" t="s">
        <v>45</v>
      </c>
      <c r="E867" t="s">
        <v>40</v>
      </c>
      <c r="F867" t="s">
        <v>56</v>
      </c>
      <c r="G867" s="1">
        <v>45724</v>
      </c>
      <c r="H867" s="1">
        <v>45739</v>
      </c>
      <c r="I867" s="4">
        <v>175944</v>
      </c>
      <c r="J867" t="s">
        <v>19</v>
      </c>
      <c r="K867" t="s">
        <v>63</v>
      </c>
      <c r="L867" t="s">
        <v>33</v>
      </c>
      <c r="M867" t="s">
        <v>38</v>
      </c>
      <c r="N867">
        <v>3</v>
      </c>
      <c r="X867">
        <v>3</v>
      </c>
      <c r="AB867" t="str">
        <f t="shared" si="13"/>
        <v>Mar</v>
      </c>
    </row>
    <row r="868" spans="1:28" x14ac:dyDescent="0.35">
      <c r="A868" t="s">
        <v>916</v>
      </c>
      <c r="B868">
        <v>57</v>
      </c>
      <c r="C868" t="s">
        <v>24</v>
      </c>
      <c r="D868" t="s">
        <v>45</v>
      </c>
      <c r="E868" t="s">
        <v>35</v>
      </c>
      <c r="F868" t="s">
        <v>36</v>
      </c>
      <c r="G868" s="1">
        <v>45712</v>
      </c>
      <c r="H868" s="1">
        <v>45731</v>
      </c>
      <c r="I868" s="4">
        <v>194503</v>
      </c>
      <c r="J868" t="s">
        <v>28</v>
      </c>
      <c r="K868" t="s">
        <v>29</v>
      </c>
      <c r="L868" t="s">
        <v>46</v>
      </c>
      <c r="M868" t="s">
        <v>38</v>
      </c>
      <c r="N868">
        <v>2</v>
      </c>
      <c r="X868">
        <v>2</v>
      </c>
      <c r="AB868" t="str">
        <f t="shared" si="13"/>
        <v>Feb</v>
      </c>
    </row>
    <row r="869" spans="1:28" x14ac:dyDescent="0.35">
      <c r="A869" t="s">
        <v>917</v>
      </c>
      <c r="B869">
        <v>21</v>
      </c>
      <c r="C869" t="s">
        <v>24</v>
      </c>
      <c r="D869" t="s">
        <v>45</v>
      </c>
      <c r="E869" t="s">
        <v>32</v>
      </c>
      <c r="F869" t="s">
        <v>41</v>
      </c>
      <c r="G869" s="1">
        <v>45471</v>
      </c>
      <c r="H869" s="1">
        <v>45478</v>
      </c>
      <c r="I869" s="4">
        <v>227134</v>
      </c>
      <c r="J869" t="s">
        <v>19</v>
      </c>
      <c r="K869" t="s">
        <v>42</v>
      </c>
      <c r="L869" t="s">
        <v>48</v>
      </c>
      <c r="M869" t="s">
        <v>22</v>
      </c>
      <c r="N869">
        <v>2</v>
      </c>
      <c r="X869">
        <v>6</v>
      </c>
      <c r="AB869" t="str">
        <f t="shared" si="13"/>
        <v>Jun</v>
      </c>
    </row>
    <row r="870" spans="1:28" x14ac:dyDescent="0.35">
      <c r="A870" t="s">
        <v>918</v>
      </c>
      <c r="B870">
        <v>59</v>
      </c>
      <c r="C870" t="s">
        <v>24</v>
      </c>
      <c r="D870" t="s">
        <v>50</v>
      </c>
      <c r="E870" t="s">
        <v>32</v>
      </c>
      <c r="F870" t="s">
        <v>56</v>
      </c>
      <c r="G870" s="1">
        <v>45743</v>
      </c>
      <c r="H870" s="1">
        <v>45751</v>
      </c>
      <c r="I870" s="4">
        <v>243150</v>
      </c>
      <c r="J870" t="s">
        <v>37</v>
      </c>
      <c r="K870" t="s">
        <v>42</v>
      </c>
      <c r="L870" t="s">
        <v>48</v>
      </c>
      <c r="M870" t="s">
        <v>64</v>
      </c>
      <c r="N870">
        <v>2</v>
      </c>
      <c r="X870">
        <v>3</v>
      </c>
      <c r="AB870" t="str">
        <f t="shared" si="13"/>
        <v>Mar</v>
      </c>
    </row>
    <row r="871" spans="1:28" x14ac:dyDescent="0.35">
      <c r="A871" t="s">
        <v>919</v>
      </c>
      <c r="B871">
        <v>74</v>
      </c>
      <c r="C871" t="s">
        <v>15</v>
      </c>
      <c r="D871" t="s">
        <v>50</v>
      </c>
      <c r="E871" t="s">
        <v>40</v>
      </c>
      <c r="F871" t="s">
        <v>36</v>
      </c>
      <c r="G871" s="1">
        <v>45630</v>
      </c>
      <c r="H871" s="1">
        <v>45645</v>
      </c>
      <c r="I871" s="4">
        <v>138136</v>
      </c>
      <c r="J871" t="s">
        <v>61</v>
      </c>
      <c r="K871" t="s">
        <v>29</v>
      </c>
      <c r="L871" t="s">
        <v>43</v>
      </c>
      <c r="M871" t="s">
        <v>64</v>
      </c>
      <c r="N871">
        <v>5</v>
      </c>
      <c r="X871">
        <v>12</v>
      </c>
      <c r="AB871" t="str">
        <f t="shared" si="13"/>
        <v>Dec</v>
      </c>
    </row>
    <row r="872" spans="1:28" x14ac:dyDescent="0.35">
      <c r="A872" t="s">
        <v>920</v>
      </c>
      <c r="B872">
        <v>55</v>
      </c>
      <c r="C872" t="s">
        <v>15</v>
      </c>
      <c r="D872" t="s">
        <v>58</v>
      </c>
      <c r="E872" t="s">
        <v>26</v>
      </c>
      <c r="F872" t="s">
        <v>27</v>
      </c>
      <c r="G872" s="1">
        <v>45335</v>
      </c>
      <c r="H872" s="1">
        <v>45352</v>
      </c>
      <c r="I872" s="4">
        <v>18091</v>
      </c>
      <c r="J872" t="s">
        <v>37</v>
      </c>
      <c r="K872" t="s">
        <v>42</v>
      </c>
      <c r="L872" t="s">
        <v>48</v>
      </c>
      <c r="M872" t="s">
        <v>22</v>
      </c>
      <c r="N872">
        <v>1</v>
      </c>
      <c r="X872">
        <v>2</v>
      </c>
      <c r="AB872" t="str">
        <f t="shared" si="13"/>
        <v>Feb</v>
      </c>
    </row>
    <row r="873" spans="1:28" x14ac:dyDescent="0.35">
      <c r="A873" t="s">
        <v>921</v>
      </c>
      <c r="B873">
        <v>66</v>
      </c>
      <c r="C873" t="s">
        <v>24</v>
      </c>
      <c r="D873" t="s">
        <v>58</v>
      </c>
      <c r="E873" t="s">
        <v>35</v>
      </c>
      <c r="F873" t="s">
        <v>36</v>
      </c>
      <c r="G873" s="1">
        <v>45541</v>
      </c>
      <c r="H873" s="1">
        <v>45560</v>
      </c>
      <c r="I873" s="4">
        <v>145740</v>
      </c>
      <c r="J873" t="s">
        <v>61</v>
      </c>
      <c r="K873" t="s">
        <v>42</v>
      </c>
      <c r="L873" t="s">
        <v>46</v>
      </c>
      <c r="M873" t="s">
        <v>22</v>
      </c>
      <c r="N873">
        <v>2</v>
      </c>
      <c r="X873">
        <v>9</v>
      </c>
      <c r="AB873" t="str">
        <f t="shared" si="13"/>
        <v>Sep</v>
      </c>
    </row>
    <row r="874" spans="1:28" x14ac:dyDescent="0.35">
      <c r="A874" t="s">
        <v>922</v>
      </c>
      <c r="B874">
        <v>48</v>
      </c>
      <c r="C874" t="s">
        <v>15</v>
      </c>
      <c r="D874" t="s">
        <v>50</v>
      </c>
      <c r="E874" t="s">
        <v>35</v>
      </c>
      <c r="F874" t="s">
        <v>41</v>
      </c>
      <c r="G874" s="1">
        <v>45768</v>
      </c>
      <c r="H874" s="1">
        <v>45778</v>
      </c>
      <c r="I874" s="4">
        <v>30246</v>
      </c>
      <c r="J874" t="s">
        <v>28</v>
      </c>
      <c r="K874" t="s">
        <v>29</v>
      </c>
      <c r="L874" t="s">
        <v>46</v>
      </c>
      <c r="M874" t="s">
        <v>38</v>
      </c>
      <c r="N874">
        <v>1</v>
      </c>
      <c r="X874">
        <v>4</v>
      </c>
      <c r="AB874" t="str">
        <f t="shared" si="13"/>
        <v>Apr</v>
      </c>
    </row>
    <row r="875" spans="1:28" x14ac:dyDescent="0.35">
      <c r="A875" t="s">
        <v>923</v>
      </c>
      <c r="B875">
        <v>43</v>
      </c>
      <c r="C875" t="s">
        <v>24</v>
      </c>
      <c r="D875" t="s">
        <v>16</v>
      </c>
      <c r="E875" t="s">
        <v>51</v>
      </c>
      <c r="F875" t="s">
        <v>41</v>
      </c>
      <c r="G875" s="1">
        <v>45928</v>
      </c>
      <c r="H875" s="1">
        <v>45938</v>
      </c>
      <c r="I875" s="4">
        <v>118023</v>
      </c>
      <c r="J875" t="s">
        <v>28</v>
      </c>
      <c r="K875" t="s">
        <v>29</v>
      </c>
      <c r="L875" t="s">
        <v>48</v>
      </c>
      <c r="M875" t="s">
        <v>64</v>
      </c>
      <c r="N875">
        <v>2</v>
      </c>
      <c r="X875">
        <v>9</v>
      </c>
      <c r="AB875" t="str">
        <f t="shared" si="13"/>
        <v>Sep</v>
      </c>
    </row>
    <row r="876" spans="1:28" x14ac:dyDescent="0.35">
      <c r="A876" t="s">
        <v>924</v>
      </c>
      <c r="B876">
        <v>47</v>
      </c>
      <c r="C876" t="s">
        <v>15</v>
      </c>
      <c r="D876" t="s">
        <v>31</v>
      </c>
      <c r="E876" t="s">
        <v>32</v>
      </c>
      <c r="F876" t="s">
        <v>41</v>
      </c>
      <c r="G876" s="1">
        <v>45537</v>
      </c>
      <c r="H876" s="1">
        <v>45549</v>
      </c>
      <c r="I876" s="4">
        <v>132493</v>
      </c>
      <c r="J876" t="s">
        <v>61</v>
      </c>
      <c r="K876" t="s">
        <v>29</v>
      </c>
      <c r="L876" t="s">
        <v>33</v>
      </c>
      <c r="M876" t="s">
        <v>38</v>
      </c>
      <c r="N876">
        <v>2</v>
      </c>
      <c r="X876">
        <v>9</v>
      </c>
      <c r="AB876" t="str">
        <f t="shared" si="13"/>
        <v>Sep</v>
      </c>
    </row>
    <row r="877" spans="1:28" x14ac:dyDescent="0.35">
      <c r="A877" t="s">
        <v>925</v>
      </c>
      <c r="B877">
        <v>34</v>
      </c>
      <c r="C877" t="s">
        <v>15</v>
      </c>
      <c r="D877" t="s">
        <v>58</v>
      </c>
      <c r="E877" t="s">
        <v>35</v>
      </c>
      <c r="F877" t="s">
        <v>56</v>
      </c>
      <c r="G877" s="1">
        <v>45401</v>
      </c>
      <c r="H877" s="1">
        <v>45415</v>
      </c>
      <c r="I877" s="4">
        <v>212652</v>
      </c>
      <c r="J877" t="s">
        <v>61</v>
      </c>
      <c r="K877" t="s">
        <v>29</v>
      </c>
      <c r="L877" t="s">
        <v>33</v>
      </c>
      <c r="M877" t="s">
        <v>22</v>
      </c>
      <c r="N877">
        <v>1</v>
      </c>
      <c r="X877">
        <v>4</v>
      </c>
      <c r="AB877" t="str">
        <f t="shared" si="13"/>
        <v>Apr</v>
      </c>
    </row>
    <row r="878" spans="1:28" x14ac:dyDescent="0.35">
      <c r="A878" t="s">
        <v>926</v>
      </c>
      <c r="B878">
        <v>22</v>
      </c>
      <c r="C878" t="s">
        <v>15</v>
      </c>
      <c r="D878" t="s">
        <v>58</v>
      </c>
      <c r="E878" t="s">
        <v>17</v>
      </c>
      <c r="F878" t="s">
        <v>41</v>
      </c>
      <c r="G878" s="1">
        <v>45509</v>
      </c>
      <c r="H878" s="1">
        <v>45526</v>
      </c>
      <c r="I878" s="4">
        <v>231401</v>
      </c>
      <c r="J878" t="s">
        <v>37</v>
      </c>
      <c r="K878" t="s">
        <v>63</v>
      </c>
      <c r="L878" t="s">
        <v>21</v>
      </c>
      <c r="M878" t="s">
        <v>64</v>
      </c>
      <c r="N878">
        <v>3</v>
      </c>
      <c r="X878">
        <v>8</v>
      </c>
      <c r="AB878" t="str">
        <f t="shared" si="13"/>
        <v>Aug</v>
      </c>
    </row>
    <row r="879" spans="1:28" x14ac:dyDescent="0.35">
      <c r="A879" t="s">
        <v>927</v>
      </c>
      <c r="B879">
        <v>65</v>
      </c>
      <c r="C879" t="s">
        <v>24</v>
      </c>
      <c r="D879" t="s">
        <v>50</v>
      </c>
      <c r="E879" t="s">
        <v>35</v>
      </c>
      <c r="F879" t="s">
        <v>36</v>
      </c>
      <c r="G879" s="1">
        <v>45536</v>
      </c>
      <c r="H879" s="1">
        <v>45551</v>
      </c>
      <c r="I879" s="4">
        <v>125119</v>
      </c>
      <c r="J879" t="s">
        <v>61</v>
      </c>
      <c r="K879" t="s">
        <v>63</v>
      </c>
      <c r="L879" t="s">
        <v>46</v>
      </c>
      <c r="M879" t="s">
        <v>22</v>
      </c>
      <c r="N879">
        <v>1</v>
      </c>
      <c r="X879">
        <v>9</v>
      </c>
      <c r="AB879" t="str">
        <f t="shared" si="13"/>
        <v>Sep</v>
      </c>
    </row>
    <row r="880" spans="1:28" x14ac:dyDescent="0.35">
      <c r="A880" t="s">
        <v>928</v>
      </c>
      <c r="B880">
        <v>47</v>
      </c>
      <c r="C880" t="s">
        <v>24</v>
      </c>
      <c r="D880" t="s">
        <v>25</v>
      </c>
      <c r="E880" t="s">
        <v>40</v>
      </c>
      <c r="F880" t="s">
        <v>56</v>
      </c>
      <c r="G880" s="1">
        <v>45970</v>
      </c>
      <c r="H880" s="1">
        <v>45980</v>
      </c>
      <c r="I880" s="4">
        <v>9950</v>
      </c>
      <c r="J880" t="s">
        <v>28</v>
      </c>
      <c r="K880" t="s">
        <v>63</v>
      </c>
      <c r="L880" t="s">
        <v>33</v>
      </c>
      <c r="M880" t="s">
        <v>64</v>
      </c>
      <c r="N880">
        <v>1</v>
      </c>
      <c r="X880">
        <v>11</v>
      </c>
      <c r="AB880" t="str">
        <f t="shared" si="13"/>
        <v>Nov</v>
      </c>
    </row>
    <row r="881" spans="1:28" x14ac:dyDescent="0.35">
      <c r="A881" t="s">
        <v>929</v>
      </c>
      <c r="B881">
        <v>57</v>
      </c>
      <c r="C881" t="s">
        <v>15</v>
      </c>
      <c r="D881" t="s">
        <v>58</v>
      </c>
      <c r="E881" t="s">
        <v>26</v>
      </c>
      <c r="F881" t="s">
        <v>27</v>
      </c>
      <c r="G881" s="1">
        <v>45867</v>
      </c>
      <c r="H881" s="1">
        <v>45875</v>
      </c>
      <c r="I881" s="4">
        <v>110479</v>
      </c>
      <c r="J881" t="s">
        <v>61</v>
      </c>
      <c r="K881" t="s">
        <v>63</v>
      </c>
      <c r="L881" t="s">
        <v>21</v>
      </c>
      <c r="M881" t="s">
        <v>38</v>
      </c>
      <c r="N881">
        <v>3</v>
      </c>
      <c r="X881">
        <v>7</v>
      </c>
      <c r="AB881" t="str">
        <f t="shared" si="13"/>
        <v>Jul</v>
      </c>
    </row>
    <row r="882" spans="1:28" x14ac:dyDescent="0.35">
      <c r="A882" t="s">
        <v>930</v>
      </c>
      <c r="B882">
        <v>55</v>
      </c>
      <c r="C882" t="s">
        <v>15</v>
      </c>
      <c r="D882" t="s">
        <v>58</v>
      </c>
      <c r="E882" t="s">
        <v>32</v>
      </c>
      <c r="F882" t="s">
        <v>18</v>
      </c>
      <c r="G882" s="1">
        <v>45913</v>
      </c>
      <c r="H882" s="1">
        <v>45927</v>
      </c>
      <c r="I882" s="4">
        <v>210143</v>
      </c>
      <c r="J882" t="s">
        <v>61</v>
      </c>
      <c r="K882" t="s">
        <v>20</v>
      </c>
      <c r="L882" t="s">
        <v>33</v>
      </c>
      <c r="M882" t="s">
        <v>22</v>
      </c>
      <c r="N882">
        <v>5</v>
      </c>
      <c r="X882">
        <v>9</v>
      </c>
      <c r="AB882" t="str">
        <f t="shared" si="13"/>
        <v>Sep</v>
      </c>
    </row>
    <row r="883" spans="1:28" x14ac:dyDescent="0.35">
      <c r="A883" t="s">
        <v>931</v>
      </c>
      <c r="B883">
        <v>26</v>
      </c>
      <c r="C883" t="s">
        <v>15</v>
      </c>
      <c r="D883" t="s">
        <v>50</v>
      </c>
      <c r="E883" t="s">
        <v>40</v>
      </c>
      <c r="F883" t="s">
        <v>27</v>
      </c>
      <c r="G883" s="1">
        <v>45402</v>
      </c>
      <c r="H883" s="1">
        <v>45406</v>
      </c>
      <c r="I883" s="4">
        <v>131355</v>
      </c>
      <c r="J883" t="s">
        <v>37</v>
      </c>
      <c r="K883" t="s">
        <v>29</v>
      </c>
      <c r="L883" t="s">
        <v>43</v>
      </c>
      <c r="M883" t="s">
        <v>22</v>
      </c>
      <c r="N883">
        <v>4</v>
      </c>
      <c r="X883">
        <v>4</v>
      </c>
      <c r="AB883" t="str">
        <f t="shared" si="13"/>
        <v>Apr</v>
      </c>
    </row>
    <row r="884" spans="1:28" x14ac:dyDescent="0.35">
      <c r="A884" t="s">
        <v>932</v>
      </c>
      <c r="B884">
        <v>80</v>
      </c>
      <c r="C884" t="s">
        <v>15</v>
      </c>
      <c r="D884" t="s">
        <v>53</v>
      </c>
      <c r="E884" t="s">
        <v>32</v>
      </c>
      <c r="F884" t="s">
        <v>36</v>
      </c>
      <c r="G884" s="1">
        <v>45682</v>
      </c>
      <c r="H884" s="1">
        <v>45688</v>
      </c>
      <c r="I884" s="4">
        <v>23683</v>
      </c>
      <c r="J884" t="s">
        <v>61</v>
      </c>
      <c r="K884" t="s">
        <v>20</v>
      </c>
      <c r="L884" t="s">
        <v>46</v>
      </c>
      <c r="M884" t="s">
        <v>22</v>
      </c>
      <c r="N884">
        <v>2</v>
      </c>
      <c r="X884">
        <v>1</v>
      </c>
      <c r="AB884" t="str">
        <f t="shared" si="13"/>
        <v>Jan</v>
      </c>
    </row>
    <row r="885" spans="1:28" x14ac:dyDescent="0.35">
      <c r="A885" t="s">
        <v>933</v>
      </c>
      <c r="B885">
        <v>25</v>
      </c>
      <c r="C885" t="s">
        <v>15</v>
      </c>
      <c r="D885" t="s">
        <v>25</v>
      </c>
      <c r="E885" t="s">
        <v>17</v>
      </c>
      <c r="F885" t="s">
        <v>56</v>
      </c>
      <c r="G885" s="1">
        <v>45474</v>
      </c>
      <c r="H885" s="1">
        <v>45490</v>
      </c>
      <c r="I885" s="4">
        <v>70828</v>
      </c>
      <c r="J885" t="s">
        <v>19</v>
      </c>
      <c r="K885" t="s">
        <v>20</v>
      </c>
      <c r="L885" t="s">
        <v>48</v>
      </c>
      <c r="M885" t="s">
        <v>64</v>
      </c>
      <c r="N885">
        <v>3</v>
      </c>
      <c r="X885">
        <v>7</v>
      </c>
      <c r="AB885" t="str">
        <f t="shared" si="13"/>
        <v>Jul</v>
      </c>
    </row>
    <row r="886" spans="1:28" x14ac:dyDescent="0.35">
      <c r="A886" t="s">
        <v>934</v>
      </c>
      <c r="B886">
        <v>60</v>
      </c>
      <c r="C886" t="s">
        <v>24</v>
      </c>
      <c r="D886" t="s">
        <v>31</v>
      </c>
      <c r="E886" t="s">
        <v>17</v>
      </c>
      <c r="F886" t="s">
        <v>27</v>
      </c>
      <c r="G886" s="1">
        <v>45946</v>
      </c>
      <c r="H886" s="1">
        <v>45951</v>
      </c>
      <c r="I886" s="4">
        <v>181026</v>
      </c>
      <c r="J886" t="s">
        <v>61</v>
      </c>
      <c r="K886" t="s">
        <v>29</v>
      </c>
      <c r="L886" t="s">
        <v>43</v>
      </c>
      <c r="M886" t="s">
        <v>38</v>
      </c>
      <c r="N886">
        <v>4</v>
      </c>
      <c r="X886">
        <v>10</v>
      </c>
      <c r="AB886" t="str">
        <f t="shared" si="13"/>
        <v>Oct</v>
      </c>
    </row>
    <row r="887" spans="1:28" x14ac:dyDescent="0.35">
      <c r="A887" t="s">
        <v>935</v>
      </c>
      <c r="B887">
        <v>69</v>
      </c>
      <c r="C887" t="s">
        <v>15</v>
      </c>
      <c r="D887" t="s">
        <v>58</v>
      </c>
      <c r="E887" t="s">
        <v>32</v>
      </c>
      <c r="F887" t="s">
        <v>36</v>
      </c>
      <c r="G887" s="1">
        <v>45838</v>
      </c>
      <c r="H887" s="1">
        <v>45857</v>
      </c>
      <c r="I887" s="4">
        <v>204923</v>
      </c>
      <c r="J887" t="s">
        <v>61</v>
      </c>
      <c r="K887" t="s">
        <v>42</v>
      </c>
      <c r="L887" t="s">
        <v>33</v>
      </c>
      <c r="M887" t="s">
        <v>38</v>
      </c>
      <c r="N887">
        <v>2</v>
      </c>
      <c r="X887">
        <v>6</v>
      </c>
      <c r="AB887" t="str">
        <f t="shared" si="13"/>
        <v>Jun</v>
      </c>
    </row>
    <row r="888" spans="1:28" x14ac:dyDescent="0.35">
      <c r="A888" t="s">
        <v>936</v>
      </c>
      <c r="B888">
        <v>43</v>
      </c>
      <c r="C888" t="s">
        <v>24</v>
      </c>
      <c r="D888" t="s">
        <v>58</v>
      </c>
      <c r="E888" t="s">
        <v>51</v>
      </c>
      <c r="F888" t="s">
        <v>41</v>
      </c>
      <c r="G888" s="1">
        <v>46002</v>
      </c>
      <c r="H888" s="1">
        <v>46005</v>
      </c>
      <c r="I888" s="4">
        <v>155261</v>
      </c>
      <c r="J888" t="s">
        <v>19</v>
      </c>
      <c r="K888" t="s">
        <v>29</v>
      </c>
      <c r="L888" t="s">
        <v>33</v>
      </c>
      <c r="M888" t="s">
        <v>64</v>
      </c>
      <c r="N888">
        <v>3</v>
      </c>
      <c r="X888">
        <v>12</v>
      </c>
      <c r="AB888" t="str">
        <f t="shared" si="13"/>
        <v>Dec</v>
      </c>
    </row>
    <row r="889" spans="1:28" x14ac:dyDescent="0.35">
      <c r="A889" t="s">
        <v>937</v>
      </c>
      <c r="B889">
        <v>35</v>
      </c>
      <c r="C889" t="s">
        <v>15</v>
      </c>
      <c r="D889" t="s">
        <v>45</v>
      </c>
      <c r="E889" t="s">
        <v>26</v>
      </c>
      <c r="F889" t="s">
        <v>36</v>
      </c>
      <c r="G889" s="1">
        <v>45465</v>
      </c>
      <c r="H889" s="1">
        <v>45477</v>
      </c>
      <c r="I889" s="4">
        <v>101006</v>
      </c>
      <c r="J889" t="s">
        <v>19</v>
      </c>
      <c r="K889" t="s">
        <v>29</v>
      </c>
      <c r="L889" t="s">
        <v>43</v>
      </c>
      <c r="M889" t="s">
        <v>38</v>
      </c>
      <c r="N889">
        <v>4</v>
      </c>
      <c r="X889">
        <v>6</v>
      </c>
      <c r="AB889" t="str">
        <f t="shared" si="13"/>
        <v>Jun</v>
      </c>
    </row>
    <row r="890" spans="1:28" x14ac:dyDescent="0.35">
      <c r="A890" t="s">
        <v>938</v>
      </c>
      <c r="B890">
        <v>41</v>
      </c>
      <c r="C890" t="s">
        <v>15</v>
      </c>
      <c r="D890" t="s">
        <v>45</v>
      </c>
      <c r="E890" t="s">
        <v>32</v>
      </c>
      <c r="F890" t="s">
        <v>18</v>
      </c>
      <c r="G890" s="1">
        <v>45858</v>
      </c>
      <c r="H890" s="1">
        <v>45859</v>
      </c>
      <c r="I890" s="4">
        <v>113454</v>
      </c>
      <c r="J890" t="s">
        <v>19</v>
      </c>
      <c r="K890" t="s">
        <v>20</v>
      </c>
      <c r="L890" t="s">
        <v>43</v>
      </c>
      <c r="M890" t="s">
        <v>22</v>
      </c>
      <c r="N890">
        <v>1</v>
      </c>
      <c r="X890">
        <v>7</v>
      </c>
      <c r="AB890" t="str">
        <f t="shared" si="13"/>
        <v>Jul</v>
      </c>
    </row>
    <row r="891" spans="1:28" x14ac:dyDescent="0.35">
      <c r="A891" t="s">
        <v>939</v>
      </c>
      <c r="B891">
        <v>60</v>
      </c>
      <c r="C891" t="s">
        <v>24</v>
      </c>
      <c r="D891" t="s">
        <v>53</v>
      </c>
      <c r="E891" t="s">
        <v>17</v>
      </c>
      <c r="F891" t="s">
        <v>41</v>
      </c>
      <c r="G891" s="1">
        <v>45317</v>
      </c>
      <c r="H891" s="1">
        <v>45329</v>
      </c>
      <c r="I891" s="4">
        <v>29926</v>
      </c>
      <c r="J891" t="s">
        <v>19</v>
      </c>
      <c r="K891" t="s">
        <v>29</v>
      </c>
      <c r="L891" t="s">
        <v>48</v>
      </c>
      <c r="M891" t="s">
        <v>38</v>
      </c>
      <c r="N891">
        <v>3</v>
      </c>
      <c r="X891">
        <v>1</v>
      </c>
      <c r="AB891" t="str">
        <f t="shared" si="13"/>
        <v>Jan</v>
      </c>
    </row>
    <row r="892" spans="1:28" x14ac:dyDescent="0.35">
      <c r="A892" t="s">
        <v>940</v>
      </c>
      <c r="B892">
        <v>33</v>
      </c>
      <c r="C892" t="s">
        <v>24</v>
      </c>
      <c r="D892" t="s">
        <v>16</v>
      </c>
      <c r="E892" t="s">
        <v>26</v>
      </c>
      <c r="F892" t="s">
        <v>41</v>
      </c>
      <c r="G892" s="1">
        <v>45680</v>
      </c>
      <c r="H892" s="1">
        <v>45688</v>
      </c>
      <c r="I892" s="4">
        <v>192917</v>
      </c>
      <c r="J892" t="s">
        <v>61</v>
      </c>
      <c r="K892" t="s">
        <v>20</v>
      </c>
      <c r="L892" t="s">
        <v>43</v>
      </c>
      <c r="M892" t="s">
        <v>22</v>
      </c>
      <c r="N892">
        <v>1</v>
      </c>
      <c r="X892">
        <v>1</v>
      </c>
      <c r="AB892" t="str">
        <f t="shared" si="13"/>
        <v>Jan</v>
      </c>
    </row>
    <row r="893" spans="1:28" x14ac:dyDescent="0.35">
      <c r="A893" t="s">
        <v>941</v>
      </c>
      <c r="B893">
        <v>29</v>
      </c>
      <c r="C893" t="s">
        <v>15</v>
      </c>
      <c r="D893" t="s">
        <v>25</v>
      </c>
      <c r="E893" t="s">
        <v>32</v>
      </c>
      <c r="F893" t="s">
        <v>18</v>
      </c>
      <c r="G893" s="1">
        <v>45418</v>
      </c>
      <c r="H893" s="1">
        <v>45424</v>
      </c>
      <c r="I893" s="4">
        <v>233365</v>
      </c>
      <c r="J893" t="s">
        <v>28</v>
      </c>
      <c r="K893" t="s">
        <v>63</v>
      </c>
      <c r="L893" t="s">
        <v>48</v>
      </c>
      <c r="M893" t="s">
        <v>22</v>
      </c>
      <c r="N893">
        <v>5</v>
      </c>
      <c r="X893">
        <v>5</v>
      </c>
      <c r="AB893" t="str">
        <f t="shared" si="13"/>
        <v>May</v>
      </c>
    </row>
    <row r="894" spans="1:28" x14ac:dyDescent="0.35">
      <c r="A894" t="s">
        <v>942</v>
      </c>
      <c r="B894">
        <v>85</v>
      </c>
      <c r="C894" t="s">
        <v>24</v>
      </c>
      <c r="D894" t="s">
        <v>50</v>
      </c>
      <c r="E894" t="s">
        <v>17</v>
      </c>
      <c r="F894" t="s">
        <v>56</v>
      </c>
      <c r="G894" s="1">
        <v>45850</v>
      </c>
      <c r="H894" s="1">
        <v>45867</v>
      </c>
      <c r="I894" s="4">
        <v>108072</v>
      </c>
      <c r="J894" t="s">
        <v>37</v>
      </c>
      <c r="K894" t="s">
        <v>42</v>
      </c>
      <c r="L894" t="s">
        <v>21</v>
      </c>
      <c r="M894" t="s">
        <v>22</v>
      </c>
      <c r="N894">
        <v>3</v>
      </c>
      <c r="X894">
        <v>7</v>
      </c>
      <c r="AB894" t="str">
        <f t="shared" si="13"/>
        <v>Jul</v>
      </c>
    </row>
    <row r="895" spans="1:28" x14ac:dyDescent="0.35">
      <c r="A895" t="s">
        <v>943</v>
      </c>
      <c r="B895">
        <v>73</v>
      </c>
      <c r="C895" t="s">
        <v>24</v>
      </c>
      <c r="D895" t="s">
        <v>50</v>
      </c>
      <c r="E895" t="s">
        <v>40</v>
      </c>
      <c r="F895" t="s">
        <v>56</v>
      </c>
      <c r="G895" s="1">
        <v>45757</v>
      </c>
      <c r="H895" s="1">
        <v>45766</v>
      </c>
      <c r="I895" s="4">
        <v>135010</v>
      </c>
      <c r="J895" t="s">
        <v>37</v>
      </c>
      <c r="K895" t="s">
        <v>42</v>
      </c>
      <c r="L895" t="s">
        <v>46</v>
      </c>
      <c r="M895" t="s">
        <v>64</v>
      </c>
      <c r="N895">
        <v>5</v>
      </c>
      <c r="X895">
        <v>4</v>
      </c>
      <c r="AB895" t="str">
        <f t="shared" si="13"/>
        <v>Apr</v>
      </c>
    </row>
    <row r="896" spans="1:28" x14ac:dyDescent="0.35">
      <c r="A896" t="s">
        <v>944</v>
      </c>
      <c r="B896">
        <v>61</v>
      </c>
      <c r="C896" t="s">
        <v>15</v>
      </c>
      <c r="D896" t="s">
        <v>25</v>
      </c>
      <c r="E896" t="s">
        <v>35</v>
      </c>
      <c r="F896" t="s">
        <v>56</v>
      </c>
      <c r="G896" s="1">
        <v>45673</v>
      </c>
      <c r="H896" s="1">
        <v>45686</v>
      </c>
      <c r="I896" s="4">
        <v>153642</v>
      </c>
      <c r="J896" t="s">
        <v>19</v>
      </c>
      <c r="K896" t="s">
        <v>63</v>
      </c>
      <c r="L896" t="s">
        <v>43</v>
      </c>
      <c r="M896" t="s">
        <v>64</v>
      </c>
      <c r="N896">
        <v>3</v>
      </c>
      <c r="X896">
        <v>1</v>
      </c>
      <c r="AB896" t="str">
        <f t="shared" si="13"/>
        <v>Jan</v>
      </c>
    </row>
    <row r="897" spans="1:28" x14ac:dyDescent="0.35">
      <c r="A897" t="s">
        <v>945</v>
      </c>
      <c r="B897">
        <v>28</v>
      </c>
      <c r="C897" t="s">
        <v>15</v>
      </c>
      <c r="D897" t="s">
        <v>45</v>
      </c>
      <c r="E897" t="s">
        <v>17</v>
      </c>
      <c r="F897" t="s">
        <v>56</v>
      </c>
      <c r="G897" s="1">
        <v>45733</v>
      </c>
      <c r="H897" s="1">
        <v>45742</v>
      </c>
      <c r="I897" s="4">
        <v>56957</v>
      </c>
      <c r="J897" t="s">
        <v>28</v>
      </c>
      <c r="K897" t="s">
        <v>20</v>
      </c>
      <c r="L897" t="s">
        <v>43</v>
      </c>
      <c r="M897" t="s">
        <v>38</v>
      </c>
      <c r="N897">
        <v>5</v>
      </c>
      <c r="X897">
        <v>3</v>
      </c>
      <c r="AB897" t="str">
        <f t="shared" si="13"/>
        <v>Mar</v>
      </c>
    </row>
    <row r="898" spans="1:28" x14ac:dyDescent="0.35">
      <c r="A898" t="s">
        <v>946</v>
      </c>
      <c r="B898">
        <v>20</v>
      </c>
      <c r="C898" t="s">
        <v>15</v>
      </c>
      <c r="D898" t="s">
        <v>53</v>
      </c>
      <c r="E898" t="s">
        <v>40</v>
      </c>
      <c r="F898" t="s">
        <v>56</v>
      </c>
      <c r="G898" s="1">
        <v>45789</v>
      </c>
      <c r="H898" s="1">
        <v>45793</v>
      </c>
      <c r="I898" s="4">
        <v>15721</v>
      </c>
      <c r="J898" t="s">
        <v>19</v>
      </c>
      <c r="K898" t="s">
        <v>63</v>
      </c>
      <c r="L898" t="s">
        <v>33</v>
      </c>
      <c r="M898" t="s">
        <v>38</v>
      </c>
      <c r="N898">
        <v>2</v>
      </c>
      <c r="X898">
        <v>5</v>
      </c>
      <c r="AB898" t="str">
        <f t="shared" si="13"/>
        <v>May</v>
      </c>
    </row>
    <row r="899" spans="1:28" x14ac:dyDescent="0.35">
      <c r="A899" t="s">
        <v>947</v>
      </c>
      <c r="B899">
        <v>27</v>
      </c>
      <c r="C899" t="s">
        <v>24</v>
      </c>
      <c r="D899" t="s">
        <v>31</v>
      </c>
      <c r="E899" t="s">
        <v>40</v>
      </c>
      <c r="F899" t="s">
        <v>27</v>
      </c>
      <c r="G899" s="1">
        <v>45781</v>
      </c>
      <c r="H899" s="1">
        <v>45782</v>
      </c>
      <c r="I899" s="4">
        <v>143864</v>
      </c>
      <c r="J899" t="s">
        <v>19</v>
      </c>
      <c r="K899" t="s">
        <v>63</v>
      </c>
      <c r="L899" t="s">
        <v>48</v>
      </c>
      <c r="M899" t="s">
        <v>38</v>
      </c>
      <c r="N899">
        <v>5</v>
      </c>
      <c r="X899">
        <v>5</v>
      </c>
      <c r="AB899" t="str">
        <f t="shared" ref="AB899:AB962" si="14">TEXT(G899,"mmm")</f>
        <v>May</v>
      </c>
    </row>
    <row r="900" spans="1:28" x14ac:dyDescent="0.35">
      <c r="A900" t="s">
        <v>948</v>
      </c>
      <c r="B900">
        <v>35</v>
      </c>
      <c r="C900" t="s">
        <v>15</v>
      </c>
      <c r="D900" t="s">
        <v>50</v>
      </c>
      <c r="E900" t="s">
        <v>51</v>
      </c>
      <c r="F900" t="s">
        <v>18</v>
      </c>
      <c r="G900" s="1">
        <v>45788</v>
      </c>
      <c r="H900" s="1">
        <v>45804</v>
      </c>
      <c r="I900" s="4">
        <v>200440</v>
      </c>
      <c r="J900" t="s">
        <v>28</v>
      </c>
      <c r="K900" t="s">
        <v>20</v>
      </c>
      <c r="L900" t="s">
        <v>43</v>
      </c>
      <c r="M900" t="s">
        <v>64</v>
      </c>
      <c r="N900">
        <v>1</v>
      </c>
      <c r="X900">
        <v>5</v>
      </c>
      <c r="AB900" t="str">
        <f t="shared" si="14"/>
        <v>May</v>
      </c>
    </row>
    <row r="901" spans="1:28" x14ac:dyDescent="0.35">
      <c r="A901" t="s">
        <v>949</v>
      </c>
      <c r="B901">
        <v>39</v>
      </c>
      <c r="C901" t="s">
        <v>15</v>
      </c>
      <c r="D901" t="s">
        <v>53</v>
      </c>
      <c r="E901" t="s">
        <v>26</v>
      </c>
      <c r="F901" t="s">
        <v>27</v>
      </c>
      <c r="G901" s="1">
        <v>45329</v>
      </c>
      <c r="H901" s="1">
        <v>45346</v>
      </c>
      <c r="I901" s="4">
        <v>249585</v>
      </c>
      <c r="J901" t="s">
        <v>19</v>
      </c>
      <c r="K901" t="s">
        <v>42</v>
      </c>
      <c r="L901" t="s">
        <v>48</v>
      </c>
      <c r="M901" t="s">
        <v>38</v>
      </c>
      <c r="N901">
        <v>2</v>
      </c>
      <c r="X901">
        <v>2</v>
      </c>
      <c r="AB901" t="str">
        <f t="shared" si="14"/>
        <v>Feb</v>
      </c>
    </row>
    <row r="902" spans="1:28" x14ac:dyDescent="0.35">
      <c r="A902" t="s">
        <v>950</v>
      </c>
      <c r="B902">
        <v>62</v>
      </c>
      <c r="C902" t="s">
        <v>24</v>
      </c>
      <c r="D902" t="s">
        <v>53</v>
      </c>
      <c r="E902" t="s">
        <v>51</v>
      </c>
      <c r="F902" t="s">
        <v>27</v>
      </c>
      <c r="G902" s="1">
        <v>45412</v>
      </c>
      <c r="H902" s="1">
        <v>45419</v>
      </c>
      <c r="I902" s="4">
        <v>21257</v>
      </c>
      <c r="J902" t="s">
        <v>28</v>
      </c>
      <c r="K902" t="s">
        <v>20</v>
      </c>
      <c r="L902" t="s">
        <v>46</v>
      </c>
      <c r="M902" t="s">
        <v>38</v>
      </c>
      <c r="N902">
        <v>1</v>
      </c>
      <c r="X902">
        <v>4</v>
      </c>
      <c r="AB902" t="str">
        <f t="shared" si="14"/>
        <v>Apr</v>
      </c>
    </row>
    <row r="903" spans="1:28" x14ac:dyDescent="0.35">
      <c r="A903" t="s">
        <v>951</v>
      </c>
      <c r="B903">
        <v>84</v>
      </c>
      <c r="C903" t="s">
        <v>15</v>
      </c>
      <c r="D903" t="s">
        <v>53</v>
      </c>
      <c r="E903" t="s">
        <v>35</v>
      </c>
      <c r="F903" t="s">
        <v>36</v>
      </c>
      <c r="G903" s="1">
        <v>45723</v>
      </c>
      <c r="H903" s="1">
        <v>45735</v>
      </c>
      <c r="I903" s="4">
        <v>113228</v>
      </c>
      <c r="J903" t="s">
        <v>28</v>
      </c>
      <c r="K903" t="s">
        <v>20</v>
      </c>
      <c r="L903" t="s">
        <v>43</v>
      </c>
      <c r="M903" t="s">
        <v>64</v>
      </c>
      <c r="N903">
        <v>3</v>
      </c>
      <c r="X903">
        <v>3</v>
      </c>
      <c r="AB903" t="str">
        <f t="shared" si="14"/>
        <v>Mar</v>
      </c>
    </row>
    <row r="904" spans="1:28" x14ac:dyDescent="0.35">
      <c r="A904" t="s">
        <v>952</v>
      </c>
      <c r="B904">
        <v>38</v>
      </c>
      <c r="C904" t="s">
        <v>15</v>
      </c>
      <c r="D904" t="s">
        <v>58</v>
      </c>
      <c r="E904" t="s">
        <v>40</v>
      </c>
      <c r="F904" t="s">
        <v>56</v>
      </c>
      <c r="G904" s="1">
        <v>45623</v>
      </c>
      <c r="H904" s="1">
        <v>45643</v>
      </c>
      <c r="I904" s="4">
        <v>33579</v>
      </c>
      <c r="J904" t="s">
        <v>28</v>
      </c>
      <c r="K904" t="s">
        <v>20</v>
      </c>
      <c r="L904" t="s">
        <v>48</v>
      </c>
      <c r="M904" t="s">
        <v>64</v>
      </c>
      <c r="N904">
        <v>4</v>
      </c>
      <c r="X904">
        <v>11</v>
      </c>
      <c r="AB904" t="str">
        <f t="shared" si="14"/>
        <v>Nov</v>
      </c>
    </row>
    <row r="905" spans="1:28" x14ac:dyDescent="0.35">
      <c r="A905" t="s">
        <v>953</v>
      </c>
      <c r="B905">
        <v>25</v>
      </c>
      <c r="C905" t="s">
        <v>24</v>
      </c>
      <c r="D905" t="s">
        <v>25</v>
      </c>
      <c r="E905" t="s">
        <v>40</v>
      </c>
      <c r="F905" t="s">
        <v>27</v>
      </c>
      <c r="G905" s="1">
        <v>45427</v>
      </c>
      <c r="H905" s="1">
        <v>45440</v>
      </c>
      <c r="I905" s="4">
        <v>23032</v>
      </c>
      <c r="J905" t="s">
        <v>61</v>
      </c>
      <c r="K905" t="s">
        <v>63</v>
      </c>
      <c r="L905" t="s">
        <v>33</v>
      </c>
      <c r="M905" t="s">
        <v>38</v>
      </c>
      <c r="N905">
        <v>1</v>
      </c>
      <c r="X905">
        <v>5</v>
      </c>
      <c r="AB905" t="str">
        <f t="shared" si="14"/>
        <v>May</v>
      </c>
    </row>
    <row r="906" spans="1:28" x14ac:dyDescent="0.35">
      <c r="A906" t="s">
        <v>954</v>
      </c>
      <c r="B906">
        <v>77</v>
      </c>
      <c r="C906" t="s">
        <v>15</v>
      </c>
      <c r="D906" t="s">
        <v>25</v>
      </c>
      <c r="E906" t="s">
        <v>35</v>
      </c>
      <c r="F906" t="s">
        <v>41</v>
      </c>
      <c r="G906" s="1">
        <v>45627</v>
      </c>
      <c r="H906" s="1">
        <v>45646</v>
      </c>
      <c r="I906" s="4">
        <v>49819</v>
      </c>
      <c r="J906" t="s">
        <v>28</v>
      </c>
      <c r="K906" t="s">
        <v>29</v>
      </c>
      <c r="L906" t="s">
        <v>46</v>
      </c>
      <c r="M906" t="s">
        <v>64</v>
      </c>
      <c r="N906">
        <v>2</v>
      </c>
      <c r="X906">
        <v>12</v>
      </c>
      <c r="AB906" t="str">
        <f t="shared" si="14"/>
        <v>Dec</v>
      </c>
    </row>
    <row r="907" spans="1:28" x14ac:dyDescent="0.35">
      <c r="A907" t="s">
        <v>955</v>
      </c>
      <c r="B907">
        <v>58</v>
      </c>
      <c r="C907" t="s">
        <v>24</v>
      </c>
      <c r="D907" t="s">
        <v>16</v>
      </c>
      <c r="E907" t="s">
        <v>32</v>
      </c>
      <c r="F907" t="s">
        <v>27</v>
      </c>
      <c r="G907" s="1">
        <v>45863</v>
      </c>
      <c r="H907" s="1">
        <v>45869</v>
      </c>
      <c r="I907" s="4">
        <v>67440</v>
      </c>
      <c r="J907" t="s">
        <v>37</v>
      </c>
      <c r="K907" t="s">
        <v>63</v>
      </c>
      <c r="L907" t="s">
        <v>48</v>
      </c>
      <c r="M907" t="s">
        <v>22</v>
      </c>
      <c r="N907">
        <v>1</v>
      </c>
      <c r="X907">
        <v>7</v>
      </c>
      <c r="AB907" t="str">
        <f t="shared" si="14"/>
        <v>Jul</v>
      </c>
    </row>
    <row r="908" spans="1:28" x14ac:dyDescent="0.35">
      <c r="A908" t="s">
        <v>956</v>
      </c>
      <c r="B908">
        <v>21</v>
      </c>
      <c r="C908" t="s">
        <v>24</v>
      </c>
      <c r="D908" t="s">
        <v>45</v>
      </c>
      <c r="E908" t="s">
        <v>51</v>
      </c>
      <c r="F908" t="s">
        <v>36</v>
      </c>
      <c r="G908" s="1">
        <v>45765</v>
      </c>
      <c r="H908" s="1">
        <v>45778</v>
      </c>
      <c r="I908" s="4">
        <v>191932</v>
      </c>
      <c r="J908" t="s">
        <v>28</v>
      </c>
      <c r="K908" t="s">
        <v>63</v>
      </c>
      <c r="L908" t="s">
        <v>46</v>
      </c>
      <c r="M908" t="s">
        <v>38</v>
      </c>
      <c r="N908">
        <v>1</v>
      </c>
      <c r="X908">
        <v>4</v>
      </c>
      <c r="AB908" t="str">
        <f t="shared" si="14"/>
        <v>Apr</v>
      </c>
    </row>
    <row r="909" spans="1:28" x14ac:dyDescent="0.35">
      <c r="A909" t="s">
        <v>957</v>
      </c>
      <c r="B909">
        <v>45</v>
      </c>
      <c r="C909" t="s">
        <v>15</v>
      </c>
      <c r="D909" t="s">
        <v>16</v>
      </c>
      <c r="E909" t="s">
        <v>35</v>
      </c>
      <c r="F909" t="s">
        <v>36</v>
      </c>
      <c r="G909" s="1">
        <v>45809</v>
      </c>
      <c r="H909" s="1">
        <v>45812</v>
      </c>
      <c r="I909" s="4">
        <v>47852</v>
      </c>
      <c r="J909" t="s">
        <v>28</v>
      </c>
      <c r="K909" t="s">
        <v>20</v>
      </c>
      <c r="L909" t="s">
        <v>33</v>
      </c>
      <c r="M909" t="s">
        <v>38</v>
      </c>
      <c r="N909">
        <v>3</v>
      </c>
      <c r="X909">
        <v>6</v>
      </c>
      <c r="AB909" t="str">
        <f t="shared" si="14"/>
        <v>Jun</v>
      </c>
    </row>
    <row r="910" spans="1:28" x14ac:dyDescent="0.35">
      <c r="A910" t="s">
        <v>958</v>
      </c>
      <c r="B910">
        <v>57</v>
      </c>
      <c r="C910" t="s">
        <v>24</v>
      </c>
      <c r="D910" t="s">
        <v>45</v>
      </c>
      <c r="E910" t="s">
        <v>26</v>
      </c>
      <c r="F910" t="s">
        <v>56</v>
      </c>
      <c r="G910" s="1">
        <v>45714</v>
      </c>
      <c r="H910" s="1">
        <v>45729</v>
      </c>
      <c r="I910" s="4">
        <v>11754</v>
      </c>
      <c r="J910" t="s">
        <v>61</v>
      </c>
      <c r="K910" t="s">
        <v>20</v>
      </c>
      <c r="L910" t="s">
        <v>33</v>
      </c>
      <c r="M910" t="s">
        <v>38</v>
      </c>
      <c r="N910">
        <v>1</v>
      </c>
      <c r="X910">
        <v>2</v>
      </c>
      <c r="AB910" t="str">
        <f t="shared" si="14"/>
        <v>Feb</v>
      </c>
    </row>
    <row r="911" spans="1:28" x14ac:dyDescent="0.35">
      <c r="A911" t="s">
        <v>959</v>
      </c>
      <c r="B911">
        <v>55</v>
      </c>
      <c r="C911" t="s">
        <v>24</v>
      </c>
      <c r="D911" t="s">
        <v>50</v>
      </c>
      <c r="E911" t="s">
        <v>35</v>
      </c>
      <c r="F911" t="s">
        <v>36</v>
      </c>
      <c r="G911" s="1">
        <v>45791</v>
      </c>
      <c r="H911" s="1">
        <v>45810</v>
      </c>
      <c r="I911" s="4">
        <v>120471</v>
      </c>
      <c r="J911" t="s">
        <v>37</v>
      </c>
      <c r="K911" t="s">
        <v>29</v>
      </c>
      <c r="L911" t="s">
        <v>33</v>
      </c>
      <c r="M911" t="s">
        <v>64</v>
      </c>
      <c r="N911">
        <v>4</v>
      </c>
      <c r="X911">
        <v>5</v>
      </c>
      <c r="AB911" t="str">
        <f t="shared" si="14"/>
        <v>May</v>
      </c>
    </row>
    <row r="912" spans="1:28" x14ac:dyDescent="0.35">
      <c r="A912" t="s">
        <v>960</v>
      </c>
      <c r="B912">
        <v>77</v>
      </c>
      <c r="C912" t="s">
        <v>15</v>
      </c>
      <c r="D912" t="s">
        <v>45</v>
      </c>
      <c r="E912" t="s">
        <v>32</v>
      </c>
      <c r="F912" t="s">
        <v>56</v>
      </c>
      <c r="G912" s="1">
        <v>45777</v>
      </c>
      <c r="H912" s="1">
        <v>45778</v>
      </c>
      <c r="I912" s="4">
        <v>183901</v>
      </c>
      <c r="J912" t="s">
        <v>37</v>
      </c>
      <c r="K912" t="s">
        <v>42</v>
      </c>
      <c r="L912" t="s">
        <v>33</v>
      </c>
      <c r="M912" t="s">
        <v>38</v>
      </c>
      <c r="N912">
        <v>5</v>
      </c>
      <c r="X912">
        <v>4</v>
      </c>
      <c r="AB912" t="str">
        <f t="shared" si="14"/>
        <v>Apr</v>
      </c>
    </row>
    <row r="913" spans="1:28" x14ac:dyDescent="0.35">
      <c r="A913" t="s">
        <v>961</v>
      </c>
      <c r="B913">
        <v>41</v>
      </c>
      <c r="C913" t="s">
        <v>24</v>
      </c>
      <c r="D913" t="s">
        <v>50</v>
      </c>
      <c r="E913" t="s">
        <v>17</v>
      </c>
      <c r="F913" t="s">
        <v>36</v>
      </c>
      <c r="G913" s="1">
        <v>45934</v>
      </c>
      <c r="H913" s="1">
        <v>45950</v>
      </c>
      <c r="I913" s="4">
        <v>234604</v>
      </c>
      <c r="J913" t="s">
        <v>19</v>
      </c>
      <c r="K913" t="s">
        <v>20</v>
      </c>
      <c r="L913" t="s">
        <v>43</v>
      </c>
      <c r="M913" t="s">
        <v>22</v>
      </c>
      <c r="N913">
        <v>3</v>
      </c>
      <c r="X913">
        <v>10</v>
      </c>
      <c r="AB913" t="str">
        <f t="shared" si="14"/>
        <v>Oct</v>
      </c>
    </row>
    <row r="914" spans="1:28" x14ac:dyDescent="0.35">
      <c r="A914" t="s">
        <v>962</v>
      </c>
      <c r="B914">
        <v>65</v>
      </c>
      <c r="C914" t="s">
        <v>24</v>
      </c>
      <c r="D914" t="s">
        <v>16</v>
      </c>
      <c r="E914" t="s">
        <v>51</v>
      </c>
      <c r="F914" t="s">
        <v>18</v>
      </c>
      <c r="G914" s="1">
        <v>45643</v>
      </c>
      <c r="H914" s="1">
        <v>45644</v>
      </c>
      <c r="I914" s="4">
        <v>70669</v>
      </c>
      <c r="J914" t="s">
        <v>19</v>
      </c>
      <c r="K914" t="s">
        <v>29</v>
      </c>
      <c r="L914" t="s">
        <v>21</v>
      </c>
      <c r="M914" t="s">
        <v>38</v>
      </c>
      <c r="N914">
        <v>5</v>
      </c>
      <c r="X914">
        <v>12</v>
      </c>
      <c r="AB914" t="str">
        <f t="shared" si="14"/>
        <v>Dec</v>
      </c>
    </row>
    <row r="915" spans="1:28" x14ac:dyDescent="0.35">
      <c r="A915" t="s">
        <v>963</v>
      </c>
      <c r="B915">
        <v>67</v>
      </c>
      <c r="C915" t="s">
        <v>24</v>
      </c>
      <c r="D915" t="s">
        <v>58</v>
      </c>
      <c r="E915" t="s">
        <v>26</v>
      </c>
      <c r="F915" t="s">
        <v>41</v>
      </c>
      <c r="G915" s="1">
        <v>45557</v>
      </c>
      <c r="H915" s="1">
        <v>45566</v>
      </c>
      <c r="I915" s="4">
        <v>228570</v>
      </c>
      <c r="J915" t="s">
        <v>37</v>
      </c>
      <c r="K915" t="s">
        <v>20</v>
      </c>
      <c r="L915" t="s">
        <v>43</v>
      </c>
      <c r="M915" t="s">
        <v>22</v>
      </c>
      <c r="N915">
        <v>5</v>
      </c>
      <c r="X915">
        <v>9</v>
      </c>
      <c r="AB915" t="str">
        <f t="shared" si="14"/>
        <v>Sep</v>
      </c>
    </row>
    <row r="916" spans="1:28" x14ac:dyDescent="0.35">
      <c r="A916" t="s">
        <v>964</v>
      </c>
      <c r="B916">
        <v>44</v>
      </c>
      <c r="C916" t="s">
        <v>24</v>
      </c>
      <c r="D916" t="s">
        <v>31</v>
      </c>
      <c r="E916" t="s">
        <v>32</v>
      </c>
      <c r="F916" t="s">
        <v>18</v>
      </c>
      <c r="G916" s="1">
        <v>45395</v>
      </c>
      <c r="H916" s="1">
        <v>45396</v>
      </c>
      <c r="I916" s="4">
        <v>221700</v>
      </c>
      <c r="J916" t="s">
        <v>37</v>
      </c>
      <c r="K916" t="s">
        <v>29</v>
      </c>
      <c r="L916" t="s">
        <v>33</v>
      </c>
      <c r="M916" t="s">
        <v>38</v>
      </c>
      <c r="N916">
        <v>3</v>
      </c>
      <c r="X916">
        <v>4</v>
      </c>
      <c r="AB916" t="str">
        <f t="shared" si="14"/>
        <v>Apr</v>
      </c>
    </row>
    <row r="917" spans="1:28" x14ac:dyDescent="0.35">
      <c r="A917" t="s">
        <v>965</v>
      </c>
      <c r="B917">
        <v>38</v>
      </c>
      <c r="C917" t="s">
        <v>15</v>
      </c>
      <c r="D917" t="s">
        <v>45</v>
      </c>
      <c r="E917" t="s">
        <v>32</v>
      </c>
      <c r="F917" t="s">
        <v>18</v>
      </c>
      <c r="G917" s="1">
        <v>45902</v>
      </c>
      <c r="H917" s="1">
        <v>45904</v>
      </c>
      <c r="I917" s="4">
        <v>145616</v>
      </c>
      <c r="J917" t="s">
        <v>37</v>
      </c>
      <c r="K917" t="s">
        <v>20</v>
      </c>
      <c r="L917" t="s">
        <v>48</v>
      </c>
      <c r="M917" t="s">
        <v>64</v>
      </c>
      <c r="N917">
        <v>4</v>
      </c>
      <c r="X917">
        <v>9</v>
      </c>
      <c r="AB917" t="str">
        <f t="shared" si="14"/>
        <v>Sep</v>
      </c>
    </row>
    <row r="918" spans="1:28" x14ac:dyDescent="0.35">
      <c r="A918" t="s">
        <v>966</v>
      </c>
      <c r="B918">
        <v>68</v>
      </c>
      <c r="C918" t="s">
        <v>15</v>
      </c>
      <c r="D918" t="s">
        <v>25</v>
      </c>
      <c r="E918" t="s">
        <v>40</v>
      </c>
      <c r="F918" t="s">
        <v>56</v>
      </c>
      <c r="G918" s="1">
        <v>45758</v>
      </c>
      <c r="H918" s="1">
        <v>45764</v>
      </c>
      <c r="I918" s="4">
        <v>246881</v>
      </c>
      <c r="J918" t="s">
        <v>19</v>
      </c>
      <c r="K918" t="s">
        <v>63</v>
      </c>
      <c r="L918" t="s">
        <v>46</v>
      </c>
      <c r="M918" t="s">
        <v>22</v>
      </c>
      <c r="N918">
        <v>5</v>
      </c>
      <c r="X918">
        <v>4</v>
      </c>
      <c r="AB918" t="str">
        <f t="shared" si="14"/>
        <v>Apr</v>
      </c>
    </row>
    <row r="919" spans="1:28" x14ac:dyDescent="0.35">
      <c r="A919" t="s">
        <v>967</v>
      </c>
      <c r="B919">
        <v>84</v>
      </c>
      <c r="C919" t="s">
        <v>24</v>
      </c>
      <c r="D919" t="s">
        <v>16</v>
      </c>
      <c r="E919" t="s">
        <v>35</v>
      </c>
      <c r="F919" t="s">
        <v>56</v>
      </c>
      <c r="G919" s="1">
        <v>45792</v>
      </c>
      <c r="H919" s="1">
        <v>45812</v>
      </c>
      <c r="I919" s="4">
        <v>249075</v>
      </c>
      <c r="J919" t="s">
        <v>19</v>
      </c>
      <c r="K919" t="s">
        <v>29</v>
      </c>
      <c r="L919" t="s">
        <v>46</v>
      </c>
      <c r="M919" t="s">
        <v>64</v>
      </c>
      <c r="N919">
        <v>1</v>
      </c>
      <c r="X919">
        <v>5</v>
      </c>
      <c r="AB919" t="str">
        <f t="shared" si="14"/>
        <v>May</v>
      </c>
    </row>
    <row r="920" spans="1:28" x14ac:dyDescent="0.35">
      <c r="A920" t="s">
        <v>968</v>
      </c>
      <c r="B920">
        <v>36</v>
      </c>
      <c r="C920" t="s">
        <v>15</v>
      </c>
      <c r="D920" t="s">
        <v>58</v>
      </c>
      <c r="E920" t="s">
        <v>32</v>
      </c>
      <c r="F920" t="s">
        <v>41</v>
      </c>
      <c r="G920" s="1">
        <v>45376</v>
      </c>
      <c r="H920" s="1">
        <v>45393</v>
      </c>
      <c r="I920" s="4">
        <v>10022</v>
      </c>
      <c r="J920" t="s">
        <v>28</v>
      </c>
      <c r="K920" t="s">
        <v>20</v>
      </c>
      <c r="L920" t="s">
        <v>48</v>
      </c>
      <c r="M920" t="s">
        <v>38</v>
      </c>
      <c r="N920">
        <v>2</v>
      </c>
      <c r="X920">
        <v>3</v>
      </c>
      <c r="AB920" t="str">
        <f t="shared" si="14"/>
        <v>Mar</v>
      </c>
    </row>
    <row r="921" spans="1:28" x14ac:dyDescent="0.35">
      <c r="A921" t="s">
        <v>969</v>
      </c>
      <c r="B921">
        <v>62</v>
      </c>
      <c r="C921" t="s">
        <v>15</v>
      </c>
      <c r="D921" t="s">
        <v>58</v>
      </c>
      <c r="E921" t="s">
        <v>40</v>
      </c>
      <c r="F921" t="s">
        <v>36</v>
      </c>
      <c r="G921" s="1">
        <v>45327</v>
      </c>
      <c r="H921" s="1">
        <v>45333</v>
      </c>
      <c r="I921" s="4">
        <v>11410</v>
      </c>
      <c r="J921" t="s">
        <v>61</v>
      </c>
      <c r="K921" t="s">
        <v>42</v>
      </c>
      <c r="L921" t="s">
        <v>48</v>
      </c>
      <c r="M921" t="s">
        <v>22</v>
      </c>
      <c r="N921">
        <v>1</v>
      </c>
      <c r="X921">
        <v>2</v>
      </c>
      <c r="AB921" t="str">
        <f t="shared" si="14"/>
        <v>Feb</v>
      </c>
    </row>
    <row r="922" spans="1:28" x14ac:dyDescent="0.35">
      <c r="A922" t="s">
        <v>970</v>
      </c>
      <c r="B922">
        <v>76</v>
      </c>
      <c r="C922" t="s">
        <v>24</v>
      </c>
      <c r="D922" t="s">
        <v>53</v>
      </c>
      <c r="E922" t="s">
        <v>40</v>
      </c>
      <c r="F922" t="s">
        <v>18</v>
      </c>
      <c r="G922" s="1">
        <v>45362</v>
      </c>
      <c r="H922" s="1">
        <v>45372</v>
      </c>
      <c r="I922" s="4">
        <v>18677</v>
      </c>
      <c r="J922" t="s">
        <v>61</v>
      </c>
      <c r="K922" t="s">
        <v>29</v>
      </c>
      <c r="L922" t="s">
        <v>48</v>
      </c>
      <c r="M922" t="s">
        <v>64</v>
      </c>
      <c r="N922">
        <v>2</v>
      </c>
      <c r="X922">
        <v>3</v>
      </c>
      <c r="AB922" t="str">
        <f t="shared" si="14"/>
        <v>Mar</v>
      </c>
    </row>
    <row r="923" spans="1:28" x14ac:dyDescent="0.35">
      <c r="A923" t="s">
        <v>971</v>
      </c>
      <c r="B923">
        <v>85</v>
      </c>
      <c r="C923" t="s">
        <v>24</v>
      </c>
      <c r="D923" t="s">
        <v>50</v>
      </c>
      <c r="E923" t="s">
        <v>32</v>
      </c>
      <c r="F923" t="s">
        <v>36</v>
      </c>
      <c r="G923" s="1">
        <v>45344</v>
      </c>
      <c r="H923" s="1">
        <v>45352</v>
      </c>
      <c r="I923" s="4">
        <v>134686</v>
      </c>
      <c r="J923" t="s">
        <v>28</v>
      </c>
      <c r="K923" t="s">
        <v>29</v>
      </c>
      <c r="L923" t="s">
        <v>21</v>
      </c>
      <c r="M923" t="s">
        <v>38</v>
      </c>
      <c r="N923">
        <v>3</v>
      </c>
      <c r="X923">
        <v>2</v>
      </c>
      <c r="AB923" t="str">
        <f t="shared" si="14"/>
        <v>Feb</v>
      </c>
    </row>
    <row r="924" spans="1:28" x14ac:dyDescent="0.35">
      <c r="A924" t="s">
        <v>972</v>
      </c>
      <c r="B924">
        <v>35</v>
      </c>
      <c r="C924" t="s">
        <v>15</v>
      </c>
      <c r="D924" t="s">
        <v>45</v>
      </c>
      <c r="E924" t="s">
        <v>17</v>
      </c>
      <c r="F924" t="s">
        <v>18</v>
      </c>
      <c r="G924" s="1">
        <v>45682</v>
      </c>
      <c r="H924" s="1">
        <v>45699</v>
      </c>
      <c r="I924" s="4">
        <v>165473</v>
      </c>
      <c r="J924" t="s">
        <v>19</v>
      </c>
      <c r="K924" t="s">
        <v>20</v>
      </c>
      <c r="L924" t="s">
        <v>48</v>
      </c>
      <c r="M924" t="s">
        <v>64</v>
      </c>
      <c r="N924">
        <v>2</v>
      </c>
      <c r="X924">
        <v>1</v>
      </c>
      <c r="AB924" t="str">
        <f t="shared" si="14"/>
        <v>Jan</v>
      </c>
    </row>
    <row r="925" spans="1:28" x14ac:dyDescent="0.35">
      <c r="A925" t="s">
        <v>973</v>
      </c>
      <c r="B925">
        <v>82</v>
      </c>
      <c r="C925" t="s">
        <v>24</v>
      </c>
      <c r="D925" t="s">
        <v>25</v>
      </c>
      <c r="E925" t="s">
        <v>51</v>
      </c>
      <c r="F925" t="s">
        <v>27</v>
      </c>
      <c r="G925" s="1">
        <v>45740</v>
      </c>
      <c r="H925" s="1">
        <v>45750</v>
      </c>
      <c r="I925" s="4">
        <v>205524</v>
      </c>
      <c r="J925" t="s">
        <v>37</v>
      </c>
      <c r="K925" t="s">
        <v>29</v>
      </c>
      <c r="L925" t="s">
        <v>21</v>
      </c>
      <c r="M925" t="s">
        <v>38</v>
      </c>
      <c r="N925">
        <v>3</v>
      </c>
      <c r="X925">
        <v>3</v>
      </c>
      <c r="AB925" t="str">
        <f t="shared" si="14"/>
        <v>Mar</v>
      </c>
    </row>
    <row r="926" spans="1:28" x14ac:dyDescent="0.35">
      <c r="A926" t="s">
        <v>974</v>
      </c>
      <c r="B926">
        <v>28</v>
      </c>
      <c r="C926" t="s">
        <v>15</v>
      </c>
      <c r="D926" t="s">
        <v>45</v>
      </c>
      <c r="E926" t="s">
        <v>32</v>
      </c>
      <c r="F926" t="s">
        <v>36</v>
      </c>
      <c r="G926" s="1">
        <v>45811</v>
      </c>
      <c r="H926" s="1">
        <v>45828</v>
      </c>
      <c r="I926" s="4">
        <v>199903</v>
      </c>
      <c r="J926" t="s">
        <v>19</v>
      </c>
      <c r="K926" t="s">
        <v>42</v>
      </c>
      <c r="L926" t="s">
        <v>33</v>
      </c>
      <c r="M926" t="s">
        <v>22</v>
      </c>
      <c r="N926">
        <v>2</v>
      </c>
      <c r="X926">
        <v>6</v>
      </c>
      <c r="AB926" t="str">
        <f t="shared" si="14"/>
        <v>Jun</v>
      </c>
    </row>
    <row r="927" spans="1:28" x14ac:dyDescent="0.35">
      <c r="A927" t="s">
        <v>975</v>
      </c>
      <c r="B927">
        <v>63</v>
      </c>
      <c r="C927" t="s">
        <v>15</v>
      </c>
      <c r="D927" t="s">
        <v>53</v>
      </c>
      <c r="E927" t="s">
        <v>40</v>
      </c>
      <c r="F927" t="s">
        <v>56</v>
      </c>
      <c r="G927" s="1">
        <v>46003</v>
      </c>
      <c r="H927" s="1">
        <v>46008</v>
      </c>
      <c r="I927" s="4">
        <v>193045</v>
      </c>
      <c r="J927" t="s">
        <v>28</v>
      </c>
      <c r="K927" t="s">
        <v>63</v>
      </c>
      <c r="L927" t="s">
        <v>33</v>
      </c>
      <c r="M927" t="s">
        <v>64</v>
      </c>
      <c r="N927">
        <v>2</v>
      </c>
      <c r="X927">
        <v>12</v>
      </c>
      <c r="AB927" t="str">
        <f t="shared" si="14"/>
        <v>Dec</v>
      </c>
    </row>
    <row r="928" spans="1:28" x14ac:dyDescent="0.35">
      <c r="A928" t="s">
        <v>976</v>
      </c>
      <c r="B928">
        <v>76</v>
      </c>
      <c r="C928" t="s">
        <v>24</v>
      </c>
      <c r="D928" t="s">
        <v>31</v>
      </c>
      <c r="E928" t="s">
        <v>17</v>
      </c>
      <c r="F928" t="s">
        <v>41</v>
      </c>
      <c r="G928" s="1">
        <v>45549</v>
      </c>
      <c r="H928" s="1">
        <v>45550</v>
      </c>
      <c r="I928" s="4">
        <v>222310</v>
      </c>
      <c r="J928" t="s">
        <v>37</v>
      </c>
      <c r="K928" t="s">
        <v>29</v>
      </c>
      <c r="L928" t="s">
        <v>33</v>
      </c>
      <c r="M928" t="s">
        <v>22</v>
      </c>
      <c r="N928">
        <v>3</v>
      </c>
      <c r="X928">
        <v>9</v>
      </c>
      <c r="AB928" t="str">
        <f t="shared" si="14"/>
        <v>Sep</v>
      </c>
    </row>
    <row r="929" spans="1:28" x14ac:dyDescent="0.35">
      <c r="A929" t="s">
        <v>977</v>
      </c>
      <c r="B929">
        <v>25</v>
      </c>
      <c r="C929" t="s">
        <v>24</v>
      </c>
      <c r="D929" t="s">
        <v>16</v>
      </c>
      <c r="E929" t="s">
        <v>51</v>
      </c>
      <c r="F929" t="s">
        <v>27</v>
      </c>
      <c r="G929" s="1">
        <v>45813</v>
      </c>
      <c r="H929" s="1">
        <v>45820</v>
      </c>
      <c r="I929" s="4">
        <v>110949</v>
      </c>
      <c r="J929" t="s">
        <v>19</v>
      </c>
      <c r="K929" t="s">
        <v>20</v>
      </c>
      <c r="L929" t="s">
        <v>21</v>
      </c>
      <c r="M929" t="s">
        <v>64</v>
      </c>
      <c r="N929">
        <v>2</v>
      </c>
      <c r="X929">
        <v>6</v>
      </c>
      <c r="AB929" t="str">
        <f t="shared" si="14"/>
        <v>Jun</v>
      </c>
    </row>
    <row r="930" spans="1:28" x14ac:dyDescent="0.35">
      <c r="A930" t="s">
        <v>978</v>
      </c>
      <c r="B930">
        <v>51</v>
      </c>
      <c r="C930" t="s">
        <v>15</v>
      </c>
      <c r="D930" t="s">
        <v>53</v>
      </c>
      <c r="E930" t="s">
        <v>35</v>
      </c>
      <c r="F930" t="s">
        <v>27</v>
      </c>
      <c r="G930" s="1">
        <v>46007</v>
      </c>
      <c r="H930" s="1">
        <v>46019</v>
      </c>
      <c r="I930" s="4">
        <v>137381</v>
      </c>
      <c r="J930" t="s">
        <v>19</v>
      </c>
      <c r="K930" t="s">
        <v>42</v>
      </c>
      <c r="L930" t="s">
        <v>46</v>
      </c>
      <c r="M930" t="s">
        <v>38</v>
      </c>
      <c r="N930">
        <v>1</v>
      </c>
      <c r="X930">
        <v>12</v>
      </c>
      <c r="AB930" t="str">
        <f t="shared" si="14"/>
        <v>Dec</v>
      </c>
    </row>
    <row r="931" spans="1:28" x14ac:dyDescent="0.35">
      <c r="A931" t="s">
        <v>979</v>
      </c>
      <c r="B931">
        <v>33</v>
      </c>
      <c r="C931" t="s">
        <v>24</v>
      </c>
      <c r="D931" t="s">
        <v>58</v>
      </c>
      <c r="E931" t="s">
        <v>17</v>
      </c>
      <c r="F931" t="s">
        <v>56</v>
      </c>
      <c r="G931" s="1">
        <v>45642</v>
      </c>
      <c r="H931" s="1">
        <v>45647</v>
      </c>
      <c r="I931" s="4">
        <v>77776</v>
      </c>
      <c r="J931" t="s">
        <v>37</v>
      </c>
      <c r="K931" t="s">
        <v>29</v>
      </c>
      <c r="L931" t="s">
        <v>48</v>
      </c>
      <c r="M931" t="s">
        <v>22</v>
      </c>
      <c r="N931">
        <v>3</v>
      </c>
      <c r="X931">
        <v>12</v>
      </c>
      <c r="AB931" t="str">
        <f t="shared" si="14"/>
        <v>Dec</v>
      </c>
    </row>
    <row r="932" spans="1:28" x14ac:dyDescent="0.35">
      <c r="A932" t="s">
        <v>980</v>
      </c>
      <c r="B932">
        <v>70</v>
      </c>
      <c r="C932" t="s">
        <v>15</v>
      </c>
      <c r="D932" t="s">
        <v>53</v>
      </c>
      <c r="E932" t="s">
        <v>32</v>
      </c>
      <c r="F932" t="s">
        <v>27</v>
      </c>
      <c r="G932" s="1">
        <v>45722</v>
      </c>
      <c r="H932" s="1">
        <v>45739</v>
      </c>
      <c r="I932" s="4">
        <v>72404</v>
      </c>
      <c r="J932" t="s">
        <v>28</v>
      </c>
      <c r="K932" t="s">
        <v>42</v>
      </c>
      <c r="L932" t="s">
        <v>43</v>
      </c>
      <c r="M932" t="s">
        <v>22</v>
      </c>
      <c r="N932">
        <v>4</v>
      </c>
      <c r="X932">
        <v>3</v>
      </c>
      <c r="AB932" t="str">
        <f t="shared" si="14"/>
        <v>Mar</v>
      </c>
    </row>
    <row r="933" spans="1:28" x14ac:dyDescent="0.35">
      <c r="A933" t="s">
        <v>981</v>
      </c>
      <c r="B933">
        <v>50</v>
      </c>
      <c r="C933" t="s">
        <v>15</v>
      </c>
      <c r="D933" t="s">
        <v>53</v>
      </c>
      <c r="E933" t="s">
        <v>32</v>
      </c>
      <c r="F933" t="s">
        <v>18</v>
      </c>
      <c r="G933" s="1">
        <v>45886</v>
      </c>
      <c r="H933" s="1">
        <v>45904</v>
      </c>
      <c r="I933" s="4">
        <v>111062</v>
      </c>
      <c r="J933" t="s">
        <v>19</v>
      </c>
      <c r="K933" t="s">
        <v>63</v>
      </c>
      <c r="L933" t="s">
        <v>48</v>
      </c>
      <c r="M933" t="s">
        <v>64</v>
      </c>
      <c r="N933">
        <v>4</v>
      </c>
      <c r="X933">
        <v>8</v>
      </c>
      <c r="AB933" t="str">
        <f t="shared" si="14"/>
        <v>Aug</v>
      </c>
    </row>
    <row r="934" spans="1:28" x14ac:dyDescent="0.35">
      <c r="A934" t="s">
        <v>982</v>
      </c>
      <c r="B934">
        <v>62</v>
      </c>
      <c r="C934" t="s">
        <v>24</v>
      </c>
      <c r="D934" t="s">
        <v>31</v>
      </c>
      <c r="E934" t="s">
        <v>17</v>
      </c>
      <c r="F934" t="s">
        <v>18</v>
      </c>
      <c r="G934" s="1">
        <v>45820</v>
      </c>
      <c r="H934" s="1">
        <v>45837</v>
      </c>
      <c r="I934" s="4">
        <v>84889</v>
      </c>
      <c r="J934" t="s">
        <v>28</v>
      </c>
      <c r="K934" t="s">
        <v>42</v>
      </c>
      <c r="L934" t="s">
        <v>48</v>
      </c>
      <c r="M934" t="s">
        <v>22</v>
      </c>
      <c r="N934">
        <v>4</v>
      </c>
      <c r="X934">
        <v>6</v>
      </c>
      <c r="AB934" t="str">
        <f t="shared" si="14"/>
        <v>Jun</v>
      </c>
    </row>
    <row r="935" spans="1:28" x14ac:dyDescent="0.35">
      <c r="A935" t="s">
        <v>983</v>
      </c>
      <c r="B935">
        <v>42</v>
      </c>
      <c r="C935" t="s">
        <v>15</v>
      </c>
      <c r="D935" t="s">
        <v>53</v>
      </c>
      <c r="E935" t="s">
        <v>17</v>
      </c>
      <c r="F935" t="s">
        <v>41</v>
      </c>
      <c r="G935" s="1">
        <v>45343</v>
      </c>
      <c r="H935" s="1">
        <v>45363</v>
      </c>
      <c r="I935" s="4">
        <v>75298</v>
      </c>
      <c r="J935" t="s">
        <v>28</v>
      </c>
      <c r="K935" t="s">
        <v>63</v>
      </c>
      <c r="L935" t="s">
        <v>33</v>
      </c>
      <c r="M935" t="s">
        <v>22</v>
      </c>
      <c r="N935">
        <v>4</v>
      </c>
      <c r="X935">
        <v>2</v>
      </c>
      <c r="AB935" t="str">
        <f t="shared" si="14"/>
        <v>Feb</v>
      </c>
    </row>
    <row r="936" spans="1:28" x14ac:dyDescent="0.35">
      <c r="A936" t="s">
        <v>984</v>
      </c>
      <c r="B936">
        <v>46</v>
      </c>
      <c r="C936" t="s">
        <v>24</v>
      </c>
      <c r="D936" t="s">
        <v>50</v>
      </c>
      <c r="E936" t="s">
        <v>35</v>
      </c>
      <c r="F936" t="s">
        <v>18</v>
      </c>
      <c r="G936" s="1">
        <v>45356</v>
      </c>
      <c r="H936" s="1">
        <v>45371</v>
      </c>
      <c r="I936" s="4">
        <v>118806</v>
      </c>
      <c r="J936" t="s">
        <v>37</v>
      </c>
      <c r="K936" t="s">
        <v>20</v>
      </c>
      <c r="L936" t="s">
        <v>43</v>
      </c>
      <c r="M936" t="s">
        <v>64</v>
      </c>
      <c r="N936">
        <v>2</v>
      </c>
      <c r="X936">
        <v>3</v>
      </c>
      <c r="AB936" t="str">
        <f t="shared" si="14"/>
        <v>Mar</v>
      </c>
    </row>
    <row r="937" spans="1:28" x14ac:dyDescent="0.35">
      <c r="A937" t="s">
        <v>985</v>
      </c>
      <c r="B937">
        <v>65</v>
      </c>
      <c r="C937" t="s">
        <v>24</v>
      </c>
      <c r="D937" t="s">
        <v>45</v>
      </c>
      <c r="E937" t="s">
        <v>17</v>
      </c>
      <c r="F937" t="s">
        <v>56</v>
      </c>
      <c r="G937" s="1">
        <v>45597</v>
      </c>
      <c r="H937" s="1">
        <v>45609</v>
      </c>
      <c r="I937" s="4">
        <v>26793</v>
      </c>
      <c r="J937" t="s">
        <v>19</v>
      </c>
      <c r="K937" t="s">
        <v>42</v>
      </c>
      <c r="L937" t="s">
        <v>21</v>
      </c>
      <c r="M937" t="s">
        <v>64</v>
      </c>
      <c r="N937">
        <v>1</v>
      </c>
      <c r="X937">
        <v>11</v>
      </c>
      <c r="AB937" t="str">
        <f t="shared" si="14"/>
        <v>Nov</v>
      </c>
    </row>
    <row r="938" spans="1:28" x14ac:dyDescent="0.35">
      <c r="A938" t="s">
        <v>986</v>
      </c>
      <c r="B938">
        <v>70</v>
      </c>
      <c r="C938" t="s">
        <v>24</v>
      </c>
      <c r="D938" t="s">
        <v>45</v>
      </c>
      <c r="E938" t="s">
        <v>17</v>
      </c>
      <c r="F938" t="s">
        <v>36</v>
      </c>
      <c r="G938" s="1">
        <v>45366</v>
      </c>
      <c r="H938" s="1">
        <v>45370</v>
      </c>
      <c r="I938" s="4">
        <v>171835</v>
      </c>
      <c r="J938" t="s">
        <v>61</v>
      </c>
      <c r="K938" t="s">
        <v>42</v>
      </c>
      <c r="L938" t="s">
        <v>48</v>
      </c>
      <c r="M938" t="s">
        <v>22</v>
      </c>
      <c r="N938">
        <v>1</v>
      </c>
      <c r="X938">
        <v>3</v>
      </c>
      <c r="AB938" t="str">
        <f t="shared" si="14"/>
        <v>Mar</v>
      </c>
    </row>
    <row r="939" spans="1:28" x14ac:dyDescent="0.35">
      <c r="A939" t="s">
        <v>987</v>
      </c>
      <c r="B939">
        <v>56</v>
      </c>
      <c r="C939" t="s">
        <v>24</v>
      </c>
      <c r="D939" t="s">
        <v>58</v>
      </c>
      <c r="E939" t="s">
        <v>51</v>
      </c>
      <c r="F939" t="s">
        <v>27</v>
      </c>
      <c r="G939" s="1">
        <v>45296</v>
      </c>
      <c r="H939" s="1">
        <v>45300</v>
      </c>
      <c r="I939" s="4">
        <v>159977</v>
      </c>
      <c r="J939" t="s">
        <v>19</v>
      </c>
      <c r="K939" t="s">
        <v>20</v>
      </c>
      <c r="L939" t="s">
        <v>33</v>
      </c>
      <c r="M939" t="s">
        <v>38</v>
      </c>
      <c r="N939">
        <v>4</v>
      </c>
      <c r="X939">
        <v>1</v>
      </c>
      <c r="AB939" t="str">
        <f t="shared" si="14"/>
        <v>Jan</v>
      </c>
    </row>
    <row r="940" spans="1:28" x14ac:dyDescent="0.35">
      <c r="A940" t="s">
        <v>988</v>
      </c>
      <c r="B940">
        <v>51</v>
      </c>
      <c r="C940" t="s">
        <v>15</v>
      </c>
      <c r="D940" t="s">
        <v>45</v>
      </c>
      <c r="E940" t="s">
        <v>26</v>
      </c>
      <c r="F940" t="s">
        <v>36</v>
      </c>
      <c r="G940" s="1">
        <v>45493</v>
      </c>
      <c r="H940" s="1">
        <v>45512</v>
      </c>
      <c r="I940" s="4">
        <v>93170</v>
      </c>
      <c r="J940" t="s">
        <v>61</v>
      </c>
      <c r="K940" t="s">
        <v>42</v>
      </c>
      <c r="L940" t="s">
        <v>48</v>
      </c>
      <c r="M940" t="s">
        <v>22</v>
      </c>
      <c r="N940">
        <v>3</v>
      </c>
      <c r="X940">
        <v>7</v>
      </c>
      <c r="AB940" t="str">
        <f t="shared" si="14"/>
        <v>Jul</v>
      </c>
    </row>
    <row r="941" spans="1:28" x14ac:dyDescent="0.35">
      <c r="A941" t="s">
        <v>989</v>
      </c>
      <c r="B941">
        <v>22</v>
      </c>
      <c r="C941" t="s">
        <v>24</v>
      </c>
      <c r="D941" t="s">
        <v>53</v>
      </c>
      <c r="E941" t="s">
        <v>26</v>
      </c>
      <c r="F941" t="s">
        <v>27</v>
      </c>
      <c r="G941" s="1">
        <v>45934</v>
      </c>
      <c r="H941" s="1">
        <v>45942</v>
      </c>
      <c r="I941" s="4">
        <v>75084</v>
      </c>
      <c r="J941" t="s">
        <v>61</v>
      </c>
      <c r="K941" t="s">
        <v>29</v>
      </c>
      <c r="L941" t="s">
        <v>46</v>
      </c>
      <c r="M941" t="s">
        <v>38</v>
      </c>
      <c r="N941">
        <v>1</v>
      </c>
      <c r="X941">
        <v>10</v>
      </c>
      <c r="AB941" t="str">
        <f t="shared" si="14"/>
        <v>Oct</v>
      </c>
    </row>
    <row r="942" spans="1:28" x14ac:dyDescent="0.35">
      <c r="A942" t="s">
        <v>990</v>
      </c>
      <c r="B942">
        <v>50</v>
      </c>
      <c r="C942" t="s">
        <v>24</v>
      </c>
      <c r="D942" t="s">
        <v>25</v>
      </c>
      <c r="E942" t="s">
        <v>35</v>
      </c>
      <c r="F942" t="s">
        <v>36</v>
      </c>
      <c r="G942" s="1">
        <v>45472</v>
      </c>
      <c r="H942" s="1">
        <v>45476</v>
      </c>
      <c r="I942" s="4">
        <v>12555</v>
      </c>
      <c r="J942" t="s">
        <v>28</v>
      </c>
      <c r="K942" t="s">
        <v>42</v>
      </c>
      <c r="L942" t="s">
        <v>33</v>
      </c>
      <c r="M942" t="s">
        <v>64</v>
      </c>
      <c r="N942">
        <v>5</v>
      </c>
      <c r="X942">
        <v>6</v>
      </c>
      <c r="AB942" t="str">
        <f t="shared" si="14"/>
        <v>Jun</v>
      </c>
    </row>
    <row r="943" spans="1:28" x14ac:dyDescent="0.35">
      <c r="A943" t="s">
        <v>991</v>
      </c>
      <c r="B943">
        <v>24</v>
      </c>
      <c r="C943" t="s">
        <v>24</v>
      </c>
      <c r="D943" t="s">
        <v>45</v>
      </c>
      <c r="E943" t="s">
        <v>26</v>
      </c>
      <c r="F943" t="s">
        <v>18</v>
      </c>
      <c r="G943" s="1">
        <v>45320</v>
      </c>
      <c r="H943" s="1">
        <v>45322</v>
      </c>
      <c r="I943" s="4">
        <v>72383</v>
      </c>
      <c r="J943" t="s">
        <v>61</v>
      </c>
      <c r="K943" t="s">
        <v>63</v>
      </c>
      <c r="L943" t="s">
        <v>46</v>
      </c>
      <c r="M943" t="s">
        <v>38</v>
      </c>
      <c r="N943">
        <v>1</v>
      </c>
      <c r="X943">
        <v>1</v>
      </c>
      <c r="AB943" t="str">
        <f t="shared" si="14"/>
        <v>Jan</v>
      </c>
    </row>
    <row r="944" spans="1:28" x14ac:dyDescent="0.35">
      <c r="A944" t="s">
        <v>992</v>
      </c>
      <c r="B944">
        <v>55</v>
      </c>
      <c r="C944" t="s">
        <v>15</v>
      </c>
      <c r="D944" t="s">
        <v>25</v>
      </c>
      <c r="E944" t="s">
        <v>32</v>
      </c>
      <c r="F944" t="s">
        <v>36</v>
      </c>
      <c r="G944" s="1">
        <v>45988</v>
      </c>
      <c r="H944" s="1">
        <v>46003</v>
      </c>
      <c r="I944" s="4">
        <v>8533</v>
      </c>
      <c r="J944" t="s">
        <v>37</v>
      </c>
      <c r="K944" t="s">
        <v>20</v>
      </c>
      <c r="L944" t="s">
        <v>43</v>
      </c>
      <c r="M944" t="s">
        <v>64</v>
      </c>
      <c r="N944">
        <v>1</v>
      </c>
      <c r="X944">
        <v>11</v>
      </c>
      <c r="AB944" t="str">
        <f t="shared" si="14"/>
        <v>Nov</v>
      </c>
    </row>
    <row r="945" spans="1:28" x14ac:dyDescent="0.35">
      <c r="A945" t="s">
        <v>993</v>
      </c>
      <c r="B945">
        <v>53</v>
      </c>
      <c r="C945" t="s">
        <v>24</v>
      </c>
      <c r="D945" t="s">
        <v>58</v>
      </c>
      <c r="E945" t="s">
        <v>32</v>
      </c>
      <c r="F945" t="s">
        <v>36</v>
      </c>
      <c r="G945" s="1">
        <v>45890</v>
      </c>
      <c r="H945" s="1">
        <v>45894</v>
      </c>
      <c r="I945" s="4">
        <v>244373</v>
      </c>
      <c r="J945" t="s">
        <v>28</v>
      </c>
      <c r="K945" t="s">
        <v>29</v>
      </c>
      <c r="L945" t="s">
        <v>21</v>
      </c>
      <c r="M945" t="s">
        <v>38</v>
      </c>
      <c r="N945">
        <v>3</v>
      </c>
      <c r="X945">
        <v>8</v>
      </c>
      <c r="AB945" t="str">
        <f t="shared" si="14"/>
        <v>Aug</v>
      </c>
    </row>
    <row r="946" spans="1:28" x14ac:dyDescent="0.35">
      <c r="A946" t="s">
        <v>994</v>
      </c>
      <c r="B946">
        <v>66</v>
      </c>
      <c r="C946" t="s">
        <v>15</v>
      </c>
      <c r="D946" t="s">
        <v>25</v>
      </c>
      <c r="E946" t="s">
        <v>32</v>
      </c>
      <c r="F946" t="s">
        <v>27</v>
      </c>
      <c r="G946" s="1">
        <v>45941</v>
      </c>
      <c r="H946" s="1">
        <v>45943</v>
      </c>
      <c r="I946" s="4">
        <v>136688</v>
      </c>
      <c r="J946" t="s">
        <v>19</v>
      </c>
      <c r="K946" t="s">
        <v>29</v>
      </c>
      <c r="L946" t="s">
        <v>43</v>
      </c>
      <c r="M946" t="s">
        <v>38</v>
      </c>
      <c r="N946">
        <v>4</v>
      </c>
      <c r="X946">
        <v>10</v>
      </c>
      <c r="AB946" t="str">
        <f t="shared" si="14"/>
        <v>Oct</v>
      </c>
    </row>
    <row r="947" spans="1:28" x14ac:dyDescent="0.35">
      <c r="A947" t="s">
        <v>995</v>
      </c>
      <c r="B947">
        <v>35</v>
      </c>
      <c r="C947" t="s">
        <v>24</v>
      </c>
      <c r="D947" t="s">
        <v>50</v>
      </c>
      <c r="E947" t="s">
        <v>35</v>
      </c>
      <c r="F947" t="s">
        <v>27</v>
      </c>
      <c r="G947" s="1">
        <v>45313</v>
      </c>
      <c r="H947" s="1">
        <v>45314</v>
      </c>
      <c r="I947" s="4">
        <v>121744</v>
      </c>
      <c r="J947" t="s">
        <v>28</v>
      </c>
      <c r="K947" t="s">
        <v>29</v>
      </c>
      <c r="L947" t="s">
        <v>33</v>
      </c>
      <c r="M947" t="s">
        <v>38</v>
      </c>
      <c r="N947">
        <v>5</v>
      </c>
      <c r="X947">
        <v>1</v>
      </c>
      <c r="AB947" t="str">
        <f t="shared" si="14"/>
        <v>Jan</v>
      </c>
    </row>
    <row r="948" spans="1:28" x14ac:dyDescent="0.35">
      <c r="A948" t="s">
        <v>996</v>
      </c>
      <c r="B948">
        <v>62</v>
      </c>
      <c r="C948" t="s">
        <v>15</v>
      </c>
      <c r="D948" t="s">
        <v>31</v>
      </c>
      <c r="E948" t="s">
        <v>32</v>
      </c>
      <c r="F948" t="s">
        <v>18</v>
      </c>
      <c r="G948" s="1">
        <v>45492</v>
      </c>
      <c r="H948" s="1">
        <v>45509</v>
      </c>
      <c r="I948" s="4">
        <v>140093</v>
      </c>
      <c r="J948" t="s">
        <v>19</v>
      </c>
      <c r="K948" t="s">
        <v>42</v>
      </c>
      <c r="L948" t="s">
        <v>46</v>
      </c>
      <c r="M948" t="s">
        <v>38</v>
      </c>
      <c r="N948">
        <v>4</v>
      </c>
      <c r="X948">
        <v>7</v>
      </c>
      <c r="AB948" t="str">
        <f t="shared" si="14"/>
        <v>Jul</v>
      </c>
    </row>
    <row r="949" spans="1:28" x14ac:dyDescent="0.35">
      <c r="A949" t="s">
        <v>997</v>
      </c>
      <c r="B949">
        <v>39</v>
      </c>
      <c r="C949" t="s">
        <v>24</v>
      </c>
      <c r="D949" t="s">
        <v>31</v>
      </c>
      <c r="E949" t="s">
        <v>17</v>
      </c>
      <c r="F949" t="s">
        <v>41</v>
      </c>
      <c r="G949" s="1">
        <v>45344</v>
      </c>
      <c r="H949" s="1">
        <v>45362</v>
      </c>
      <c r="I949" s="4">
        <v>113001</v>
      </c>
      <c r="J949" t="s">
        <v>61</v>
      </c>
      <c r="K949" t="s">
        <v>63</v>
      </c>
      <c r="L949" t="s">
        <v>33</v>
      </c>
      <c r="M949" t="s">
        <v>38</v>
      </c>
      <c r="N949">
        <v>2</v>
      </c>
      <c r="X949">
        <v>2</v>
      </c>
      <c r="AB949" t="str">
        <f t="shared" si="14"/>
        <v>Feb</v>
      </c>
    </row>
    <row r="950" spans="1:28" x14ac:dyDescent="0.35">
      <c r="A950" t="s">
        <v>998</v>
      </c>
      <c r="B950">
        <v>22</v>
      </c>
      <c r="C950" t="s">
        <v>15</v>
      </c>
      <c r="D950" t="s">
        <v>31</v>
      </c>
      <c r="E950" t="s">
        <v>51</v>
      </c>
      <c r="F950" t="s">
        <v>41</v>
      </c>
      <c r="G950" s="1">
        <v>45765</v>
      </c>
      <c r="H950" s="1">
        <v>45771</v>
      </c>
      <c r="I950" s="4">
        <v>204563</v>
      </c>
      <c r="J950" t="s">
        <v>19</v>
      </c>
      <c r="K950" t="s">
        <v>63</v>
      </c>
      <c r="L950" t="s">
        <v>33</v>
      </c>
      <c r="M950" t="s">
        <v>38</v>
      </c>
      <c r="N950">
        <v>2</v>
      </c>
      <c r="X950">
        <v>4</v>
      </c>
      <c r="AB950" t="str">
        <f t="shared" si="14"/>
        <v>Apr</v>
      </c>
    </row>
    <row r="951" spans="1:28" x14ac:dyDescent="0.35">
      <c r="A951" t="s">
        <v>999</v>
      </c>
      <c r="B951">
        <v>27</v>
      </c>
      <c r="C951" t="s">
        <v>24</v>
      </c>
      <c r="D951" t="s">
        <v>16</v>
      </c>
      <c r="E951" t="s">
        <v>35</v>
      </c>
      <c r="F951" t="s">
        <v>56</v>
      </c>
      <c r="G951" s="1">
        <v>45801</v>
      </c>
      <c r="H951" s="1">
        <v>45810</v>
      </c>
      <c r="I951" s="4">
        <v>110568</v>
      </c>
      <c r="J951" t="s">
        <v>28</v>
      </c>
      <c r="K951" t="s">
        <v>63</v>
      </c>
      <c r="L951" t="s">
        <v>48</v>
      </c>
      <c r="M951" t="s">
        <v>64</v>
      </c>
      <c r="N951">
        <v>2</v>
      </c>
      <c r="X951">
        <v>5</v>
      </c>
      <c r="AB951" t="str">
        <f t="shared" si="14"/>
        <v>May</v>
      </c>
    </row>
    <row r="952" spans="1:28" x14ac:dyDescent="0.35">
      <c r="A952" t="s">
        <v>1000</v>
      </c>
      <c r="B952">
        <v>37</v>
      </c>
      <c r="C952" t="s">
        <v>15</v>
      </c>
      <c r="D952" t="s">
        <v>16</v>
      </c>
      <c r="E952" t="s">
        <v>51</v>
      </c>
      <c r="F952" t="s">
        <v>27</v>
      </c>
      <c r="G952" s="1">
        <v>45773</v>
      </c>
      <c r="H952" s="1">
        <v>45777</v>
      </c>
      <c r="I952" s="4">
        <v>57819</v>
      </c>
      <c r="J952" t="s">
        <v>37</v>
      </c>
      <c r="K952" t="s">
        <v>63</v>
      </c>
      <c r="L952" t="s">
        <v>48</v>
      </c>
      <c r="M952" t="s">
        <v>38</v>
      </c>
      <c r="N952">
        <v>4</v>
      </c>
      <c r="X952">
        <v>4</v>
      </c>
      <c r="AB952" t="str">
        <f t="shared" si="14"/>
        <v>Apr</v>
      </c>
    </row>
    <row r="953" spans="1:28" x14ac:dyDescent="0.35">
      <c r="A953" t="s">
        <v>1001</v>
      </c>
      <c r="B953">
        <v>45</v>
      </c>
      <c r="C953" t="s">
        <v>24</v>
      </c>
      <c r="D953" t="s">
        <v>45</v>
      </c>
      <c r="E953" t="s">
        <v>26</v>
      </c>
      <c r="F953" t="s">
        <v>18</v>
      </c>
      <c r="G953" s="1">
        <v>45303</v>
      </c>
      <c r="H953" s="1">
        <v>45314</v>
      </c>
      <c r="I953" s="4">
        <v>232993</v>
      </c>
      <c r="J953" t="s">
        <v>28</v>
      </c>
      <c r="K953" t="s">
        <v>20</v>
      </c>
      <c r="L953" t="s">
        <v>46</v>
      </c>
      <c r="M953" t="s">
        <v>38</v>
      </c>
      <c r="N953">
        <v>1</v>
      </c>
      <c r="X953">
        <v>1</v>
      </c>
      <c r="AB953" t="str">
        <f t="shared" si="14"/>
        <v>Jan</v>
      </c>
    </row>
    <row r="954" spans="1:28" x14ac:dyDescent="0.35">
      <c r="A954" t="s">
        <v>1002</v>
      </c>
      <c r="B954">
        <v>84</v>
      </c>
      <c r="C954" t="s">
        <v>24</v>
      </c>
      <c r="D954" t="s">
        <v>58</v>
      </c>
      <c r="E954" t="s">
        <v>40</v>
      </c>
      <c r="F954" t="s">
        <v>18</v>
      </c>
      <c r="G954" s="1">
        <v>45882</v>
      </c>
      <c r="H954" s="1">
        <v>45891</v>
      </c>
      <c r="I954" s="4">
        <v>45533</v>
      </c>
      <c r="J954" t="s">
        <v>37</v>
      </c>
      <c r="K954" t="s">
        <v>29</v>
      </c>
      <c r="L954" t="s">
        <v>48</v>
      </c>
      <c r="M954" t="s">
        <v>38</v>
      </c>
      <c r="N954">
        <v>5</v>
      </c>
      <c r="X954">
        <v>8</v>
      </c>
      <c r="AB954" t="str">
        <f t="shared" si="14"/>
        <v>Aug</v>
      </c>
    </row>
    <row r="955" spans="1:28" x14ac:dyDescent="0.35">
      <c r="A955" t="s">
        <v>1003</v>
      </c>
      <c r="B955">
        <v>45</v>
      </c>
      <c r="C955" t="s">
        <v>24</v>
      </c>
      <c r="D955" t="s">
        <v>25</v>
      </c>
      <c r="E955" t="s">
        <v>26</v>
      </c>
      <c r="F955" t="s">
        <v>27</v>
      </c>
      <c r="G955" s="1">
        <v>45382</v>
      </c>
      <c r="H955" s="1">
        <v>45387</v>
      </c>
      <c r="I955" s="4">
        <v>206192</v>
      </c>
      <c r="J955" t="s">
        <v>28</v>
      </c>
      <c r="K955" t="s">
        <v>63</v>
      </c>
      <c r="L955" t="s">
        <v>21</v>
      </c>
      <c r="M955" t="s">
        <v>38</v>
      </c>
      <c r="N955">
        <v>3</v>
      </c>
      <c r="X955">
        <v>3</v>
      </c>
      <c r="AB955" t="str">
        <f t="shared" si="14"/>
        <v>Mar</v>
      </c>
    </row>
    <row r="956" spans="1:28" x14ac:dyDescent="0.35">
      <c r="A956" t="s">
        <v>1004</v>
      </c>
      <c r="B956">
        <v>35</v>
      </c>
      <c r="C956" t="s">
        <v>24</v>
      </c>
      <c r="D956" t="s">
        <v>25</v>
      </c>
      <c r="E956" t="s">
        <v>26</v>
      </c>
      <c r="F956" t="s">
        <v>27</v>
      </c>
      <c r="G956" s="1">
        <v>45607</v>
      </c>
      <c r="H956" s="1">
        <v>45626</v>
      </c>
      <c r="I956" s="4">
        <v>72964</v>
      </c>
      <c r="J956" t="s">
        <v>37</v>
      </c>
      <c r="K956" t="s">
        <v>29</v>
      </c>
      <c r="L956" t="s">
        <v>33</v>
      </c>
      <c r="M956" t="s">
        <v>64</v>
      </c>
      <c r="N956">
        <v>4</v>
      </c>
      <c r="X956">
        <v>11</v>
      </c>
      <c r="AB956" t="str">
        <f t="shared" si="14"/>
        <v>Nov</v>
      </c>
    </row>
    <row r="957" spans="1:28" x14ac:dyDescent="0.35">
      <c r="A957" t="s">
        <v>1005</v>
      </c>
      <c r="B957">
        <v>43</v>
      </c>
      <c r="C957" t="s">
        <v>15</v>
      </c>
      <c r="D957" t="s">
        <v>16</v>
      </c>
      <c r="E957" t="s">
        <v>51</v>
      </c>
      <c r="F957" t="s">
        <v>56</v>
      </c>
      <c r="G957" s="1">
        <v>45307</v>
      </c>
      <c r="H957" s="1">
        <v>45317</v>
      </c>
      <c r="I957" s="4">
        <v>176705</v>
      </c>
      <c r="J957" t="s">
        <v>61</v>
      </c>
      <c r="K957" t="s">
        <v>63</v>
      </c>
      <c r="L957" t="s">
        <v>48</v>
      </c>
      <c r="M957" t="s">
        <v>64</v>
      </c>
      <c r="N957">
        <v>2</v>
      </c>
      <c r="X957">
        <v>1</v>
      </c>
      <c r="AB957" t="str">
        <f t="shared" si="14"/>
        <v>Jan</v>
      </c>
    </row>
    <row r="958" spans="1:28" x14ac:dyDescent="0.35">
      <c r="A958" t="s">
        <v>1006</v>
      </c>
      <c r="B958">
        <v>28</v>
      </c>
      <c r="C958" t="s">
        <v>15</v>
      </c>
      <c r="D958" t="s">
        <v>45</v>
      </c>
      <c r="E958" t="s">
        <v>32</v>
      </c>
      <c r="F958" t="s">
        <v>41</v>
      </c>
      <c r="G958" s="1">
        <v>45297</v>
      </c>
      <c r="H958" s="1">
        <v>45313</v>
      </c>
      <c r="I958" s="4">
        <v>109480</v>
      </c>
      <c r="J958" t="s">
        <v>28</v>
      </c>
      <c r="K958" t="s">
        <v>63</v>
      </c>
      <c r="L958" t="s">
        <v>46</v>
      </c>
      <c r="M958" t="s">
        <v>64</v>
      </c>
      <c r="N958">
        <v>3</v>
      </c>
      <c r="X958">
        <v>1</v>
      </c>
      <c r="AB958" t="str">
        <f t="shared" si="14"/>
        <v>Jan</v>
      </c>
    </row>
    <row r="959" spans="1:28" x14ac:dyDescent="0.35">
      <c r="A959" t="s">
        <v>1007</v>
      </c>
      <c r="B959">
        <v>84</v>
      </c>
      <c r="C959" t="s">
        <v>15</v>
      </c>
      <c r="D959" t="s">
        <v>50</v>
      </c>
      <c r="E959" t="s">
        <v>40</v>
      </c>
      <c r="F959" t="s">
        <v>56</v>
      </c>
      <c r="G959" s="1">
        <v>45861</v>
      </c>
      <c r="H959" s="1">
        <v>45868</v>
      </c>
      <c r="I959" s="4">
        <v>5409</v>
      </c>
      <c r="J959" t="s">
        <v>37</v>
      </c>
      <c r="K959" t="s">
        <v>63</v>
      </c>
      <c r="L959" t="s">
        <v>43</v>
      </c>
      <c r="M959" t="s">
        <v>64</v>
      </c>
      <c r="N959">
        <v>4</v>
      </c>
      <c r="X959">
        <v>7</v>
      </c>
      <c r="AB959" t="str">
        <f t="shared" si="14"/>
        <v>Jul</v>
      </c>
    </row>
    <row r="960" spans="1:28" x14ac:dyDescent="0.35">
      <c r="A960" t="s">
        <v>1008</v>
      </c>
      <c r="B960">
        <v>47</v>
      </c>
      <c r="C960" t="s">
        <v>24</v>
      </c>
      <c r="D960" t="s">
        <v>31</v>
      </c>
      <c r="E960" t="s">
        <v>51</v>
      </c>
      <c r="F960" t="s">
        <v>27</v>
      </c>
      <c r="G960" s="1">
        <v>45516</v>
      </c>
      <c r="H960" s="1">
        <v>45532</v>
      </c>
      <c r="I960" s="4">
        <v>15511</v>
      </c>
      <c r="J960" t="s">
        <v>28</v>
      </c>
      <c r="K960" t="s">
        <v>29</v>
      </c>
      <c r="L960" t="s">
        <v>46</v>
      </c>
      <c r="M960" t="s">
        <v>38</v>
      </c>
      <c r="N960">
        <v>3</v>
      </c>
      <c r="X960">
        <v>8</v>
      </c>
      <c r="AB960" t="str">
        <f t="shared" si="14"/>
        <v>Aug</v>
      </c>
    </row>
    <row r="961" spans="1:28" x14ac:dyDescent="0.35">
      <c r="A961" t="s">
        <v>1009</v>
      </c>
      <c r="B961">
        <v>68</v>
      </c>
      <c r="C961" t="s">
        <v>15</v>
      </c>
      <c r="D961" t="s">
        <v>16</v>
      </c>
      <c r="E961" t="s">
        <v>17</v>
      </c>
      <c r="F961" t="s">
        <v>36</v>
      </c>
      <c r="G961" s="1">
        <v>45302</v>
      </c>
      <c r="H961" s="1">
        <v>45318</v>
      </c>
      <c r="I961" s="4">
        <v>237353</v>
      </c>
      <c r="J961" t="s">
        <v>37</v>
      </c>
      <c r="K961" t="s">
        <v>42</v>
      </c>
      <c r="L961" t="s">
        <v>21</v>
      </c>
      <c r="M961" t="s">
        <v>22</v>
      </c>
      <c r="N961">
        <v>3</v>
      </c>
      <c r="X961">
        <v>1</v>
      </c>
      <c r="AB961" t="str">
        <f t="shared" si="14"/>
        <v>Jan</v>
      </c>
    </row>
    <row r="962" spans="1:28" x14ac:dyDescent="0.35">
      <c r="A962" t="s">
        <v>1010</v>
      </c>
      <c r="B962">
        <v>81</v>
      </c>
      <c r="C962" t="s">
        <v>24</v>
      </c>
      <c r="D962" t="s">
        <v>50</v>
      </c>
      <c r="E962" t="s">
        <v>51</v>
      </c>
      <c r="F962" t="s">
        <v>41</v>
      </c>
      <c r="G962" s="1">
        <v>45967</v>
      </c>
      <c r="H962" s="1">
        <v>45978</v>
      </c>
      <c r="I962" s="4">
        <v>76737</v>
      </c>
      <c r="J962" t="s">
        <v>28</v>
      </c>
      <c r="K962" t="s">
        <v>29</v>
      </c>
      <c r="L962" t="s">
        <v>43</v>
      </c>
      <c r="M962" t="s">
        <v>22</v>
      </c>
      <c r="N962">
        <v>4</v>
      </c>
      <c r="X962">
        <v>11</v>
      </c>
      <c r="AB962" t="str">
        <f t="shared" si="14"/>
        <v>Nov</v>
      </c>
    </row>
    <row r="963" spans="1:28" x14ac:dyDescent="0.35">
      <c r="A963" t="s">
        <v>1011</v>
      </c>
      <c r="B963">
        <v>80</v>
      </c>
      <c r="C963" t="s">
        <v>24</v>
      </c>
      <c r="D963" t="s">
        <v>50</v>
      </c>
      <c r="E963" t="s">
        <v>17</v>
      </c>
      <c r="F963" t="s">
        <v>56</v>
      </c>
      <c r="G963" s="1">
        <v>45772</v>
      </c>
      <c r="H963" s="1">
        <v>45782</v>
      </c>
      <c r="I963" s="4">
        <v>185394</v>
      </c>
      <c r="J963" t="s">
        <v>37</v>
      </c>
      <c r="K963" t="s">
        <v>20</v>
      </c>
      <c r="L963" t="s">
        <v>46</v>
      </c>
      <c r="M963" t="s">
        <v>22</v>
      </c>
      <c r="N963">
        <v>3</v>
      </c>
      <c r="X963">
        <v>4</v>
      </c>
      <c r="AB963" t="str">
        <f t="shared" ref="AB963:AB1001" si="15">TEXT(G963,"mmm")</f>
        <v>Apr</v>
      </c>
    </row>
    <row r="964" spans="1:28" x14ac:dyDescent="0.35">
      <c r="A964" t="s">
        <v>1012</v>
      </c>
      <c r="B964">
        <v>30</v>
      </c>
      <c r="C964" t="s">
        <v>15</v>
      </c>
      <c r="D964" t="s">
        <v>45</v>
      </c>
      <c r="E964" t="s">
        <v>40</v>
      </c>
      <c r="F964" t="s">
        <v>56</v>
      </c>
      <c r="G964" s="1">
        <v>45550</v>
      </c>
      <c r="H964" s="1">
        <v>45564</v>
      </c>
      <c r="I964" s="4">
        <v>62058</v>
      </c>
      <c r="J964" t="s">
        <v>61</v>
      </c>
      <c r="K964" t="s">
        <v>42</v>
      </c>
      <c r="L964" t="s">
        <v>48</v>
      </c>
      <c r="M964" t="s">
        <v>38</v>
      </c>
      <c r="N964">
        <v>1</v>
      </c>
      <c r="X964">
        <v>9</v>
      </c>
      <c r="AB964" t="str">
        <f t="shared" si="15"/>
        <v>Sep</v>
      </c>
    </row>
    <row r="965" spans="1:28" x14ac:dyDescent="0.35">
      <c r="A965" t="s">
        <v>1013</v>
      </c>
      <c r="B965">
        <v>49</v>
      </c>
      <c r="C965" t="s">
        <v>15</v>
      </c>
      <c r="D965" t="s">
        <v>45</v>
      </c>
      <c r="E965" t="s">
        <v>26</v>
      </c>
      <c r="F965" t="s">
        <v>36</v>
      </c>
      <c r="G965" s="1">
        <v>45733</v>
      </c>
      <c r="H965" s="1">
        <v>45751</v>
      </c>
      <c r="I965" s="4">
        <v>57197</v>
      </c>
      <c r="J965" t="s">
        <v>61</v>
      </c>
      <c r="K965" t="s">
        <v>42</v>
      </c>
      <c r="L965" t="s">
        <v>43</v>
      </c>
      <c r="M965" t="s">
        <v>22</v>
      </c>
      <c r="N965">
        <v>5</v>
      </c>
      <c r="X965">
        <v>3</v>
      </c>
      <c r="AB965" t="str">
        <f t="shared" si="15"/>
        <v>Mar</v>
      </c>
    </row>
    <row r="966" spans="1:28" x14ac:dyDescent="0.35">
      <c r="A966" t="s">
        <v>1014</v>
      </c>
      <c r="B966">
        <v>51</v>
      </c>
      <c r="C966" t="s">
        <v>24</v>
      </c>
      <c r="D966" t="s">
        <v>25</v>
      </c>
      <c r="E966" t="s">
        <v>17</v>
      </c>
      <c r="F966" t="s">
        <v>18</v>
      </c>
      <c r="G966" s="1">
        <v>45755</v>
      </c>
      <c r="H966" s="1">
        <v>45759</v>
      </c>
      <c r="I966" s="4">
        <v>229178</v>
      </c>
      <c r="J966" t="s">
        <v>28</v>
      </c>
      <c r="K966" t="s">
        <v>20</v>
      </c>
      <c r="L966" t="s">
        <v>33</v>
      </c>
      <c r="M966" t="s">
        <v>38</v>
      </c>
      <c r="N966">
        <v>1</v>
      </c>
      <c r="X966">
        <v>4</v>
      </c>
      <c r="AB966" t="str">
        <f t="shared" si="15"/>
        <v>Apr</v>
      </c>
    </row>
    <row r="967" spans="1:28" x14ac:dyDescent="0.35">
      <c r="A967" t="s">
        <v>1015</v>
      </c>
      <c r="B967">
        <v>57</v>
      </c>
      <c r="C967" t="s">
        <v>24</v>
      </c>
      <c r="D967" t="s">
        <v>58</v>
      </c>
      <c r="E967" t="s">
        <v>32</v>
      </c>
      <c r="F967" t="s">
        <v>41</v>
      </c>
      <c r="G967" s="1">
        <v>45467</v>
      </c>
      <c r="H967" s="1">
        <v>45478</v>
      </c>
      <c r="I967" s="4">
        <v>24367</v>
      </c>
      <c r="J967" t="s">
        <v>19</v>
      </c>
      <c r="K967" t="s">
        <v>63</v>
      </c>
      <c r="L967" t="s">
        <v>46</v>
      </c>
      <c r="M967" t="s">
        <v>64</v>
      </c>
      <c r="N967">
        <v>4</v>
      </c>
      <c r="X967">
        <v>6</v>
      </c>
      <c r="AB967" t="str">
        <f t="shared" si="15"/>
        <v>Jun</v>
      </c>
    </row>
    <row r="968" spans="1:28" x14ac:dyDescent="0.35">
      <c r="A968" t="s">
        <v>1016</v>
      </c>
      <c r="B968">
        <v>18</v>
      </c>
      <c r="C968" t="s">
        <v>24</v>
      </c>
      <c r="D968" t="s">
        <v>58</v>
      </c>
      <c r="E968" t="s">
        <v>40</v>
      </c>
      <c r="F968" t="s">
        <v>18</v>
      </c>
      <c r="G968" s="1">
        <v>45991</v>
      </c>
      <c r="H968" s="1">
        <v>45996</v>
      </c>
      <c r="I968" s="4">
        <v>221049</v>
      </c>
      <c r="J968" t="s">
        <v>28</v>
      </c>
      <c r="K968" t="s">
        <v>29</v>
      </c>
      <c r="L968" t="s">
        <v>46</v>
      </c>
      <c r="M968" t="s">
        <v>38</v>
      </c>
      <c r="N968">
        <v>2</v>
      </c>
      <c r="X968">
        <v>11</v>
      </c>
      <c r="AB968" t="str">
        <f t="shared" si="15"/>
        <v>Nov</v>
      </c>
    </row>
    <row r="969" spans="1:28" x14ac:dyDescent="0.35">
      <c r="A969" t="s">
        <v>1017</v>
      </c>
      <c r="B969">
        <v>46</v>
      </c>
      <c r="C969" t="s">
        <v>15</v>
      </c>
      <c r="D969" t="s">
        <v>31</v>
      </c>
      <c r="E969" t="s">
        <v>40</v>
      </c>
      <c r="F969" t="s">
        <v>18</v>
      </c>
      <c r="G969" s="1">
        <v>45601</v>
      </c>
      <c r="H969" s="1">
        <v>45620</v>
      </c>
      <c r="I969" s="4">
        <v>32238</v>
      </c>
      <c r="J969" t="s">
        <v>37</v>
      </c>
      <c r="K969" t="s">
        <v>42</v>
      </c>
      <c r="L969" t="s">
        <v>46</v>
      </c>
      <c r="M969" t="s">
        <v>22</v>
      </c>
      <c r="N969">
        <v>2</v>
      </c>
      <c r="X969">
        <v>11</v>
      </c>
      <c r="AB969" t="str">
        <f t="shared" si="15"/>
        <v>Nov</v>
      </c>
    </row>
    <row r="970" spans="1:28" x14ac:dyDescent="0.35">
      <c r="A970" t="s">
        <v>1018</v>
      </c>
      <c r="B970">
        <v>37</v>
      </c>
      <c r="C970" t="s">
        <v>15</v>
      </c>
      <c r="D970" t="s">
        <v>25</v>
      </c>
      <c r="E970" t="s">
        <v>35</v>
      </c>
      <c r="F970" t="s">
        <v>36</v>
      </c>
      <c r="G970" s="1">
        <v>45765</v>
      </c>
      <c r="H970" s="1">
        <v>45776</v>
      </c>
      <c r="I970" s="4">
        <v>169064</v>
      </c>
      <c r="J970" t="s">
        <v>28</v>
      </c>
      <c r="K970" t="s">
        <v>20</v>
      </c>
      <c r="L970" t="s">
        <v>46</v>
      </c>
      <c r="M970" t="s">
        <v>22</v>
      </c>
      <c r="N970">
        <v>1</v>
      </c>
      <c r="X970">
        <v>4</v>
      </c>
      <c r="AB970" t="str">
        <f t="shared" si="15"/>
        <v>Apr</v>
      </c>
    </row>
    <row r="971" spans="1:28" x14ac:dyDescent="0.35">
      <c r="A971" t="s">
        <v>1019</v>
      </c>
      <c r="B971">
        <v>71</v>
      </c>
      <c r="C971" t="s">
        <v>15</v>
      </c>
      <c r="D971" t="s">
        <v>31</v>
      </c>
      <c r="E971" t="s">
        <v>40</v>
      </c>
      <c r="F971" t="s">
        <v>56</v>
      </c>
      <c r="G971" s="1">
        <v>45992</v>
      </c>
      <c r="H971" s="1">
        <v>46001</v>
      </c>
      <c r="I971" s="4">
        <v>194536</v>
      </c>
      <c r="J971" t="s">
        <v>19</v>
      </c>
      <c r="K971" t="s">
        <v>63</v>
      </c>
      <c r="L971" t="s">
        <v>21</v>
      </c>
      <c r="M971" t="s">
        <v>64</v>
      </c>
      <c r="N971">
        <v>3</v>
      </c>
      <c r="X971">
        <v>12</v>
      </c>
      <c r="AB971" t="str">
        <f t="shared" si="15"/>
        <v>Dec</v>
      </c>
    </row>
    <row r="972" spans="1:28" x14ac:dyDescent="0.35">
      <c r="A972" t="s">
        <v>1020</v>
      </c>
      <c r="B972">
        <v>73</v>
      </c>
      <c r="C972" t="s">
        <v>24</v>
      </c>
      <c r="D972" t="s">
        <v>53</v>
      </c>
      <c r="E972" t="s">
        <v>17</v>
      </c>
      <c r="F972" t="s">
        <v>56</v>
      </c>
      <c r="G972" s="1">
        <v>45834</v>
      </c>
      <c r="H972" s="1">
        <v>45851</v>
      </c>
      <c r="I972" s="4">
        <v>6542</v>
      </c>
      <c r="J972" t="s">
        <v>19</v>
      </c>
      <c r="K972" t="s">
        <v>63</v>
      </c>
      <c r="L972" t="s">
        <v>43</v>
      </c>
      <c r="M972" t="s">
        <v>64</v>
      </c>
      <c r="N972">
        <v>1</v>
      </c>
      <c r="X972">
        <v>6</v>
      </c>
      <c r="AB972" t="str">
        <f t="shared" si="15"/>
        <v>Jun</v>
      </c>
    </row>
    <row r="973" spans="1:28" x14ac:dyDescent="0.35">
      <c r="A973" t="s">
        <v>1021</v>
      </c>
      <c r="B973">
        <v>81</v>
      </c>
      <c r="C973" t="s">
        <v>15</v>
      </c>
      <c r="D973" t="s">
        <v>16</v>
      </c>
      <c r="E973" t="s">
        <v>40</v>
      </c>
      <c r="F973" t="s">
        <v>41</v>
      </c>
      <c r="G973" s="1">
        <v>45977</v>
      </c>
      <c r="H973" s="1">
        <v>45983</v>
      </c>
      <c r="I973" s="4">
        <v>121864</v>
      </c>
      <c r="J973" t="s">
        <v>37</v>
      </c>
      <c r="K973" t="s">
        <v>29</v>
      </c>
      <c r="L973" t="s">
        <v>43</v>
      </c>
      <c r="M973" t="s">
        <v>38</v>
      </c>
      <c r="N973">
        <v>3</v>
      </c>
      <c r="X973">
        <v>11</v>
      </c>
      <c r="AB973" t="str">
        <f t="shared" si="15"/>
        <v>Nov</v>
      </c>
    </row>
    <row r="974" spans="1:28" x14ac:dyDescent="0.35">
      <c r="A974" t="s">
        <v>1022</v>
      </c>
      <c r="B974">
        <v>76</v>
      </c>
      <c r="C974" t="s">
        <v>24</v>
      </c>
      <c r="D974" t="s">
        <v>45</v>
      </c>
      <c r="E974" t="s">
        <v>32</v>
      </c>
      <c r="F974" t="s">
        <v>18</v>
      </c>
      <c r="G974" s="1">
        <v>45448</v>
      </c>
      <c r="H974" s="1">
        <v>45461</v>
      </c>
      <c r="I974" s="4">
        <v>128447</v>
      </c>
      <c r="J974" t="s">
        <v>28</v>
      </c>
      <c r="K974" t="s">
        <v>20</v>
      </c>
      <c r="L974" t="s">
        <v>43</v>
      </c>
      <c r="M974" t="s">
        <v>38</v>
      </c>
      <c r="N974">
        <v>2</v>
      </c>
      <c r="X974">
        <v>6</v>
      </c>
      <c r="AB974" t="str">
        <f t="shared" si="15"/>
        <v>Jun</v>
      </c>
    </row>
    <row r="975" spans="1:28" x14ac:dyDescent="0.35">
      <c r="A975" t="s">
        <v>1023</v>
      </c>
      <c r="B975">
        <v>49</v>
      </c>
      <c r="C975" t="s">
        <v>15</v>
      </c>
      <c r="D975" t="s">
        <v>45</v>
      </c>
      <c r="E975" t="s">
        <v>40</v>
      </c>
      <c r="F975" t="s">
        <v>18</v>
      </c>
      <c r="G975" s="1">
        <v>45556</v>
      </c>
      <c r="H975" s="1">
        <v>45568</v>
      </c>
      <c r="I975" s="4">
        <v>66051</v>
      </c>
      <c r="J975" t="s">
        <v>28</v>
      </c>
      <c r="K975" t="s">
        <v>63</v>
      </c>
      <c r="L975" t="s">
        <v>33</v>
      </c>
      <c r="M975" t="s">
        <v>22</v>
      </c>
      <c r="N975">
        <v>5</v>
      </c>
      <c r="X975">
        <v>9</v>
      </c>
      <c r="AB975" t="str">
        <f t="shared" si="15"/>
        <v>Sep</v>
      </c>
    </row>
    <row r="976" spans="1:28" x14ac:dyDescent="0.35">
      <c r="A976" t="s">
        <v>1024</v>
      </c>
      <c r="B976">
        <v>37</v>
      </c>
      <c r="C976" t="s">
        <v>24</v>
      </c>
      <c r="D976" t="s">
        <v>16</v>
      </c>
      <c r="E976" t="s">
        <v>17</v>
      </c>
      <c r="F976" t="s">
        <v>18</v>
      </c>
      <c r="G976" s="1">
        <v>45724</v>
      </c>
      <c r="H976" s="1">
        <v>45733</v>
      </c>
      <c r="I976" s="4">
        <v>9381</v>
      </c>
      <c r="J976" t="s">
        <v>28</v>
      </c>
      <c r="K976" t="s">
        <v>42</v>
      </c>
      <c r="L976" t="s">
        <v>33</v>
      </c>
      <c r="M976" t="s">
        <v>22</v>
      </c>
      <c r="N976">
        <v>5</v>
      </c>
      <c r="X976">
        <v>3</v>
      </c>
      <c r="AB976" t="str">
        <f t="shared" si="15"/>
        <v>Mar</v>
      </c>
    </row>
    <row r="977" spans="1:28" x14ac:dyDescent="0.35">
      <c r="A977" t="s">
        <v>1025</v>
      </c>
      <c r="B977">
        <v>44</v>
      </c>
      <c r="C977" t="s">
        <v>15</v>
      </c>
      <c r="D977" t="s">
        <v>50</v>
      </c>
      <c r="E977" t="s">
        <v>26</v>
      </c>
      <c r="F977" t="s">
        <v>56</v>
      </c>
      <c r="G977" s="1">
        <v>45859</v>
      </c>
      <c r="H977" s="1">
        <v>45873</v>
      </c>
      <c r="I977" s="4">
        <v>40202</v>
      </c>
      <c r="J977" t="s">
        <v>28</v>
      </c>
      <c r="K977" t="s">
        <v>29</v>
      </c>
      <c r="L977" t="s">
        <v>33</v>
      </c>
      <c r="M977" t="s">
        <v>64</v>
      </c>
      <c r="N977">
        <v>2</v>
      </c>
      <c r="X977">
        <v>7</v>
      </c>
      <c r="AB977" t="str">
        <f t="shared" si="15"/>
        <v>Jul</v>
      </c>
    </row>
    <row r="978" spans="1:28" x14ac:dyDescent="0.35">
      <c r="A978" t="s">
        <v>1026</v>
      </c>
      <c r="B978">
        <v>74</v>
      </c>
      <c r="C978" t="s">
        <v>24</v>
      </c>
      <c r="D978" t="s">
        <v>50</v>
      </c>
      <c r="E978" t="s">
        <v>35</v>
      </c>
      <c r="F978" t="s">
        <v>36</v>
      </c>
      <c r="G978" s="1">
        <v>45903</v>
      </c>
      <c r="H978" s="1">
        <v>45920</v>
      </c>
      <c r="I978" s="4">
        <v>206561</v>
      </c>
      <c r="J978" t="s">
        <v>61</v>
      </c>
      <c r="K978" t="s">
        <v>42</v>
      </c>
      <c r="L978" t="s">
        <v>48</v>
      </c>
      <c r="M978" t="s">
        <v>38</v>
      </c>
      <c r="N978">
        <v>5</v>
      </c>
      <c r="X978">
        <v>9</v>
      </c>
      <c r="AB978" t="str">
        <f t="shared" si="15"/>
        <v>Sep</v>
      </c>
    </row>
    <row r="979" spans="1:28" x14ac:dyDescent="0.35">
      <c r="A979" t="s">
        <v>1027</v>
      </c>
      <c r="B979">
        <v>59</v>
      </c>
      <c r="C979" t="s">
        <v>24</v>
      </c>
      <c r="D979" t="s">
        <v>31</v>
      </c>
      <c r="E979" t="s">
        <v>35</v>
      </c>
      <c r="F979" t="s">
        <v>36</v>
      </c>
      <c r="G979" s="1">
        <v>45795</v>
      </c>
      <c r="H979" s="1">
        <v>45806</v>
      </c>
      <c r="I979" s="4">
        <v>59281</v>
      </c>
      <c r="J979" t="s">
        <v>61</v>
      </c>
      <c r="K979" t="s">
        <v>29</v>
      </c>
      <c r="L979" t="s">
        <v>46</v>
      </c>
      <c r="M979" t="s">
        <v>22</v>
      </c>
      <c r="N979">
        <v>4</v>
      </c>
      <c r="X979">
        <v>5</v>
      </c>
      <c r="AB979" t="str">
        <f t="shared" si="15"/>
        <v>May</v>
      </c>
    </row>
    <row r="980" spans="1:28" x14ac:dyDescent="0.35">
      <c r="A980" t="s">
        <v>1028</v>
      </c>
      <c r="B980">
        <v>43</v>
      </c>
      <c r="C980" t="s">
        <v>24</v>
      </c>
      <c r="D980" t="s">
        <v>16</v>
      </c>
      <c r="E980" t="s">
        <v>51</v>
      </c>
      <c r="F980" t="s">
        <v>56</v>
      </c>
      <c r="G980" s="1">
        <v>45643</v>
      </c>
      <c r="H980" s="1">
        <v>45648</v>
      </c>
      <c r="I980" s="4">
        <v>205807</v>
      </c>
      <c r="J980" t="s">
        <v>37</v>
      </c>
      <c r="K980" t="s">
        <v>29</v>
      </c>
      <c r="L980" t="s">
        <v>46</v>
      </c>
      <c r="M980" t="s">
        <v>22</v>
      </c>
      <c r="N980">
        <v>5</v>
      </c>
      <c r="X980">
        <v>12</v>
      </c>
      <c r="AB980" t="str">
        <f t="shared" si="15"/>
        <v>Dec</v>
      </c>
    </row>
    <row r="981" spans="1:28" x14ac:dyDescent="0.35">
      <c r="A981" t="s">
        <v>1029</v>
      </c>
      <c r="B981">
        <v>66</v>
      </c>
      <c r="C981" t="s">
        <v>24</v>
      </c>
      <c r="D981" t="s">
        <v>58</v>
      </c>
      <c r="E981" t="s">
        <v>40</v>
      </c>
      <c r="F981" t="s">
        <v>41</v>
      </c>
      <c r="G981" s="1">
        <v>45396</v>
      </c>
      <c r="H981" s="1">
        <v>45408</v>
      </c>
      <c r="I981" s="4">
        <v>190766</v>
      </c>
      <c r="J981" t="s">
        <v>61</v>
      </c>
      <c r="K981" t="s">
        <v>42</v>
      </c>
      <c r="L981" t="s">
        <v>48</v>
      </c>
      <c r="M981" t="s">
        <v>38</v>
      </c>
      <c r="N981">
        <v>1</v>
      </c>
      <c r="X981">
        <v>4</v>
      </c>
      <c r="AB981" t="str">
        <f t="shared" si="15"/>
        <v>Apr</v>
      </c>
    </row>
    <row r="982" spans="1:28" x14ac:dyDescent="0.35">
      <c r="A982" t="s">
        <v>1030</v>
      </c>
      <c r="B982">
        <v>63</v>
      </c>
      <c r="C982" t="s">
        <v>15</v>
      </c>
      <c r="D982" t="s">
        <v>31</v>
      </c>
      <c r="E982" t="s">
        <v>35</v>
      </c>
      <c r="F982" t="s">
        <v>56</v>
      </c>
      <c r="G982" s="1">
        <v>45451</v>
      </c>
      <c r="H982" s="1">
        <v>45457</v>
      </c>
      <c r="I982" s="4">
        <v>93247</v>
      </c>
      <c r="J982" t="s">
        <v>37</v>
      </c>
      <c r="K982" t="s">
        <v>29</v>
      </c>
      <c r="L982" t="s">
        <v>33</v>
      </c>
      <c r="M982" t="s">
        <v>38</v>
      </c>
      <c r="N982">
        <v>3</v>
      </c>
      <c r="X982">
        <v>6</v>
      </c>
      <c r="AB982" t="str">
        <f t="shared" si="15"/>
        <v>Jun</v>
      </c>
    </row>
    <row r="983" spans="1:28" x14ac:dyDescent="0.35">
      <c r="A983" t="s">
        <v>1031</v>
      </c>
      <c r="B983">
        <v>39</v>
      </c>
      <c r="C983" t="s">
        <v>24</v>
      </c>
      <c r="D983" t="s">
        <v>50</v>
      </c>
      <c r="E983" t="s">
        <v>51</v>
      </c>
      <c r="F983" t="s">
        <v>56</v>
      </c>
      <c r="G983" s="1">
        <v>45886</v>
      </c>
      <c r="H983" s="1">
        <v>45890</v>
      </c>
      <c r="I983" s="4">
        <v>91904</v>
      </c>
      <c r="J983" t="s">
        <v>19</v>
      </c>
      <c r="K983" t="s">
        <v>20</v>
      </c>
      <c r="L983" t="s">
        <v>33</v>
      </c>
      <c r="M983" t="s">
        <v>64</v>
      </c>
      <c r="N983">
        <v>2</v>
      </c>
      <c r="X983">
        <v>8</v>
      </c>
      <c r="AB983" t="str">
        <f t="shared" si="15"/>
        <v>Aug</v>
      </c>
    </row>
    <row r="984" spans="1:28" x14ac:dyDescent="0.35">
      <c r="A984" t="s">
        <v>1032</v>
      </c>
      <c r="B984">
        <v>78</v>
      </c>
      <c r="C984" t="s">
        <v>24</v>
      </c>
      <c r="D984" t="s">
        <v>50</v>
      </c>
      <c r="E984" t="s">
        <v>40</v>
      </c>
      <c r="F984" t="s">
        <v>27</v>
      </c>
      <c r="G984" s="1">
        <v>45579</v>
      </c>
      <c r="H984" s="1">
        <v>45591</v>
      </c>
      <c r="I984" s="4">
        <v>221317</v>
      </c>
      <c r="J984" t="s">
        <v>19</v>
      </c>
      <c r="K984" t="s">
        <v>29</v>
      </c>
      <c r="L984" t="s">
        <v>48</v>
      </c>
      <c r="M984" t="s">
        <v>38</v>
      </c>
      <c r="N984">
        <v>3</v>
      </c>
      <c r="X984">
        <v>10</v>
      </c>
      <c r="AB984" t="str">
        <f t="shared" si="15"/>
        <v>Oct</v>
      </c>
    </row>
    <row r="985" spans="1:28" x14ac:dyDescent="0.35">
      <c r="A985" t="s">
        <v>1033</v>
      </c>
      <c r="B985">
        <v>52</v>
      </c>
      <c r="C985" t="s">
        <v>24</v>
      </c>
      <c r="D985" t="s">
        <v>50</v>
      </c>
      <c r="E985" t="s">
        <v>51</v>
      </c>
      <c r="F985" t="s">
        <v>41</v>
      </c>
      <c r="G985" s="1">
        <v>45614</v>
      </c>
      <c r="H985" s="1">
        <v>45619</v>
      </c>
      <c r="I985" s="4">
        <v>89222</v>
      </c>
      <c r="J985" t="s">
        <v>37</v>
      </c>
      <c r="K985" t="s">
        <v>29</v>
      </c>
      <c r="L985" t="s">
        <v>43</v>
      </c>
      <c r="M985" t="s">
        <v>22</v>
      </c>
      <c r="N985">
        <v>5</v>
      </c>
      <c r="X985">
        <v>11</v>
      </c>
      <c r="AB985" t="str">
        <f t="shared" si="15"/>
        <v>Nov</v>
      </c>
    </row>
    <row r="986" spans="1:28" x14ac:dyDescent="0.35">
      <c r="A986" t="s">
        <v>1034</v>
      </c>
      <c r="B986">
        <v>83</v>
      </c>
      <c r="C986" t="s">
        <v>24</v>
      </c>
      <c r="D986" t="s">
        <v>45</v>
      </c>
      <c r="E986" t="s">
        <v>35</v>
      </c>
      <c r="F986" t="s">
        <v>27</v>
      </c>
      <c r="G986" s="1">
        <v>45777</v>
      </c>
      <c r="H986" s="1">
        <v>45786</v>
      </c>
      <c r="I986" s="4">
        <v>73182</v>
      </c>
      <c r="J986" t="s">
        <v>37</v>
      </c>
      <c r="K986" t="s">
        <v>20</v>
      </c>
      <c r="L986" t="s">
        <v>48</v>
      </c>
      <c r="M986" t="s">
        <v>64</v>
      </c>
      <c r="N986">
        <v>5</v>
      </c>
      <c r="X986">
        <v>4</v>
      </c>
      <c r="AB986" t="str">
        <f t="shared" si="15"/>
        <v>Apr</v>
      </c>
    </row>
    <row r="987" spans="1:28" x14ac:dyDescent="0.35">
      <c r="A987" t="s">
        <v>1035</v>
      </c>
      <c r="B987">
        <v>54</v>
      </c>
      <c r="C987" t="s">
        <v>15</v>
      </c>
      <c r="D987" t="s">
        <v>16</v>
      </c>
      <c r="E987" t="s">
        <v>32</v>
      </c>
      <c r="F987" t="s">
        <v>18</v>
      </c>
      <c r="G987" s="1">
        <v>45637</v>
      </c>
      <c r="H987" s="1">
        <v>45649</v>
      </c>
      <c r="I987" s="4">
        <v>229679</v>
      </c>
      <c r="J987" t="s">
        <v>19</v>
      </c>
      <c r="K987" t="s">
        <v>20</v>
      </c>
      <c r="L987" t="s">
        <v>46</v>
      </c>
      <c r="M987" t="s">
        <v>22</v>
      </c>
      <c r="N987">
        <v>5</v>
      </c>
      <c r="X987">
        <v>12</v>
      </c>
      <c r="AB987" t="str">
        <f t="shared" si="15"/>
        <v>Dec</v>
      </c>
    </row>
    <row r="988" spans="1:28" x14ac:dyDescent="0.35">
      <c r="A988" t="s">
        <v>1036</v>
      </c>
      <c r="B988">
        <v>62</v>
      </c>
      <c r="C988" t="s">
        <v>24</v>
      </c>
      <c r="D988" t="s">
        <v>16</v>
      </c>
      <c r="E988" t="s">
        <v>51</v>
      </c>
      <c r="F988" t="s">
        <v>18</v>
      </c>
      <c r="G988" s="1">
        <v>45589</v>
      </c>
      <c r="H988" s="1">
        <v>45603</v>
      </c>
      <c r="I988" s="4">
        <v>188168</v>
      </c>
      <c r="J988" t="s">
        <v>37</v>
      </c>
      <c r="K988" t="s">
        <v>20</v>
      </c>
      <c r="L988" t="s">
        <v>48</v>
      </c>
      <c r="M988" t="s">
        <v>22</v>
      </c>
      <c r="N988">
        <v>3</v>
      </c>
      <c r="X988">
        <v>10</v>
      </c>
      <c r="AB988" t="str">
        <f t="shared" si="15"/>
        <v>Oct</v>
      </c>
    </row>
    <row r="989" spans="1:28" x14ac:dyDescent="0.35">
      <c r="A989" t="s">
        <v>1037</v>
      </c>
      <c r="B989">
        <v>36</v>
      </c>
      <c r="C989" t="s">
        <v>24</v>
      </c>
      <c r="D989" t="s">
        <v>53</v>
      </c>
      <c r="E989" t="s">
        <v>17</v>
      </c>
      <c r="F989" t="s">
        <v>41</v>
      </c>
      <c r="G989" s="1">
        <v>45743</v>
      </c>
      <c r="H989" s="1">
        <v>45746</v>
      </c>
      <c r="I989" s="4">
        <v>17151</v>
      </c>
      <c r="J989" t="s">
        <v>19</v>
      </c>
      <c r="K989" t="s">
        <v>29</v>
      </c>
      <c r="L989" t="s">
        <v>21</v>
      </c>
      <c r="M989" t="s">
        <v>64</v>
      </c>
      <c r="N989">
        <v>1</v>
      </c>
      <c r="X989">
        <v>3</v>
      </c>
      <c r="AB989" t="str">
        <f t="shared" si="15"/>
        <v>Mar</v>
      </c>
    </row>
    <row r="990" spans="1:28" x14ac:dyDescent="0.35">
      <c r="A990" t="s">
        <v>1038</v>
      </c>
      <c r="B990">
        <v>81</v>
      </c>
      <c r="C990" t="s">
        <v>24</v>
      </c>
      <c r="D990" t="s">
        <v>53</v>
      </c>
      <c r="E990" t="s">
        <v>51</v>
      </c>
      <c r="F990" t="s">
        <v>27</v>
      </c>
      <c r="G990" s="1">
        <v>45847</v>
      </c>
      <c r="H990" s="1">
        <v>45848</v>
      </c>
      <c r="I990" s="4">
        <v>236780</v>
      </c>
      <c r="J990" t="s">
        <v>28</v>
      </c>
      <c r="K990" t="s">
        <v>63</v>
      </c>
      <c r="L990" t="s">
        <v>43</v>
      </c>
      <c r="M990" t="s">
        <v>38</v>
      </c>
      <c r="N990">
        <v>2</v>
      </c>
      <c r="X990">
        <v>7</v>
      </c>
      <c r="AB990" t="str">
        <f t="shared" si="15"/>
        <v>Jul</v>
      </c>
    </row>
    <row r="991" spans="1:28" x14ac:dyDescent="0.35">
      <c r="A991" t="s">
        <v>1039</v>
      </c>
      <c r="B991">
        <v>57</v>
      </c>
      <c r="C991" t="s">
        <v>24</v>
      </c>
      <c r="D991" t="s">
        <v>58</v>
      </c>
      <c r="E991" t="s">
        <v>40</v>
      </c>
      <c r="F991" t="s">
        <v>41</v>
      </c>
      <c r="G991" s="1">
        <v>46005</v>
      </c>
      <c r="H991" s="1">
        <v>46009</v>
      </c>
      <c r="I991" s="4">
        <v>20827</v>
      </c>
      <c r="J991" t="s">
        <v>37</v>
      </c>
      <c r="K991" t="s">
        <v>42</v>
      </c>
      <c r="L991" t="s">
        <v>33</v>
      </c>
      <c r="M991" t="s">
        <v>64</v>
      </c>
      <c r="N991">
        <v>3</v>
      </c>
      <c r="X991">
        <v>12</v>
      </c>
      <c r="AB991" t="str">
        <f t="shared" si="15"/>
        <v>Dec</v>
      </c>
    </row>
    <row r="992" spans="1:28" x14ac:dyDescent="0.35">
      <c r="A992" t="s">
        <v>1040</v>
      </c>
      <c r="B992">
        <v>75</v>
      </c>
      <c r="C992" t="s">
        <v>15</v>
      </c>
      <c r="D992" t="s">
        <v>45</v>
      </c>
      <c r="E992" t="s">
        <v>51</v>
      </c>
      <c r="F992" t="s">
        <v>56</v>
      </c>
      <c r="G992" s="1">
        <v>45358</v>
      </c>
      <c r="H992" s="1">
        <v>45364</v>
      </c>
      <c r="I992" s="4">
        <v>10154</v>
      </c>
      <c r="J992" t="s">
        <v>28</v>
      </c>
      <c r="K992" t="s">
        <v>63</v>
      </c>
      <c r="L992" t="s">
        <v>46</v>
      </c>
      <c r="M992" t="s">
        <v>22</v>
      </c>
      <c r="N992">
        <v>2</v>
      </c>
      <c r="X992">
        <v>3</v>
      </c>
      <c r="AB992" t="str">
        <f t="shared" si="15"/>
        <v>Mar</v>
      </c>
    </row>
    <row r="993" spans="1:28" x14ac:dyDescent="0.35">
      <c r="A993" t="s">
        <v>1041</v>
      </c>
      <c r="B993">
        <v>63</v>
      </c>
      <c r="C993" t="s">
        <v>15</v>
      </c>
      <c r="D993" t="s">
        <v>45</v>
      </c>
      <c r="E993" t="s">
        <v>35</v>
      </c>
      <c r="F993" t="s">
        <v>18</v>
      </c>
      <c r="G993" s="1">
        <v>45832</v>
      </c>
      <c r="H993" s="1">
        <v>45844</v>
      </c>
      <c r="I993" s="4">
        <v>121530</v>
      </c>
      <c r="J993" t="s">
        <v>28</v>
      </c>
      <c r="K993" t="s">
        <v>42</v>
      </c>
      <c r="L993" t="s">
        <v>43</v>
      </c>
      <c r="M993" t="s">
        <v>38</v>
      </c>
      <c r="N993">
        <v>1</v>
      </c>
      <c r="X993">
        <v>6</v>
      </c>
      <c r="AB993" t="str">
        <f t="shared" si="15"/>
        <v>Jun</v>
      </c>
    </row>
    <row r="994" spans="1:28" x14ac:dyDescent="0.35">
      <c r="A994" t="s">
        <v>1042</v>
      </c>
      <c r="B994">
        <v>49</v>
      </c>
      <c r="C994" t="s">
        <v>15</v>
      </c>
      <c r="D994" t="s">
        <v>50</v>
      </c>
      <c r="E994" t="s">
        <v>26</v>
      </c>
      <c r="F994" t="s">
        <v>56</v>
      </c>
      <c r="G994" s="1">
        <v>45662</v>
      </c>
      <c r="H994" s="1">
        <v>45666</v>
      </c>
      <c r="I994" s="4">
        <v>58437</v>
      </c>
      <c r="J994" t="s">
        <v>37</v>
      </c>
      <c r="K994" t="s">
        <v>20</v>
      </c>
      <c r="L994" t="s">
        <v>21</v>
      </c>
      <c r="M994" t="s">
        <v>64</v>
      </c>
      <c r="N994">
        <v>3</v>
      </c>
      <c r="X994">
        <v>1</v>
      </c>
      <c r="AB994" t="str">
        <f t="shared" si="15"/>
        <v>Jan</v>
      </c>
    </row>
    <row r="995" spans="1:28" x14ac:dyDescent="0.35">
      <c r="A995" t="s">
        <v>1043</v>
      </c>
      <c r="B995">
        <v>78</v>
      </c>
      <c r="C995" t="s">
        <v>24</v>
      </c>
      <c r="D995" t="s">
        <v>16</v>
      </c>
      <c r="E995" t="s">
        <v>51</v>
      </c>
      <c r="F995" t="s">
        <v>41</v>
      </c>
      <c r="G995" s="1">
        <v>45505</v>
      </c>
      <c r="H995" s="1">
        <v>45513</v>
      </c>
      <c r="I995" s="4">
        <v>120656</v>
      </c>
      <c r="J995" t="s">
        <v>61</v>
      </c>
      <c r="K995" t="s">
        <v>20</v>
      </c>
      <c r="L995" t="s">
        <v>43</v>
      </c>
      <c r="M995" t="s">
        <v>64</v>
      </c>
      <c r="N995">
        <v>2</v>
      </c>
      <c r="X995">
        <v>8</v>
      </c>
      <c r="AB995" t="str">
        <f t="shared" si="15"/>
        <v>Aug</v>
      </c>
    </row>
    <row r="996" spans="1:28" x14ac:dyDescent="0.35">
      <c r="A996" t="s">
        <v>1044</v>
      </c>
      <c r="B996">
        <v>25</v>
      </c>
      <c r="C996" t="s">
        <v>15</v>
      </c>
      <c r="D996" t="s">
        <v>25</v>
      </c>
      <c r="E996" t="s">
        <v>40</v>
      </c>
      <c r="F996" t="s">
        <v>18</v>
      </c>
      <c r="G996" s="1">
        <v>45418</v>
      </c>
      <c r="H996" s="1">
        <v>45432</v>
      </c>
      <c r="I996" s="4">
        <v>119204</v>
      </c>
      <c r="J996" t="s">
        <v>28</v>
      </c>
      <c r="K996" t="s">
        <v>20</v>
      </c>
      <c r="L996" t="s">
        <v>33</v>
      </c>
      <c r="M996" t="s">
        <v>38</v>
      </c>
      <c r="N996">
        <v>1</v>
      </c>
      <c r="X996">
        <v>5</v>
      </c>
      <c r="AB996" t="str">
        <f t="shared" si="15"/>
        <v>May</v>
      </c>
    </row>
    <row r="997" spans="1:28" x14ac:dyDescent="0.35">
      <c r="A997" t="s">
        <v>1045</v>
      </c>
      <c r="B997">
        <v>57</v>
      </c>
      <c r="C997" t="s">
        <v>24</v>
      </c>
      <c r="D997" t="s">
        <v>53</v>
      </c>
      <c r="E997" t="s">
        <v>35</v>
      </c>
      <c r="F997" t="s">
        <v>36</v>
      </c>
      <c r="G997" s="1">
        <v>45745</v>
      </c>
      <c r="H997" s="1">
        <v>45749</v>
      </c>
      <c r="I997" s="4">
        <v>242736</v>
      </c>
      <c r="J997" t="s">
        <v>19</v>
      </c>
      <c r="K997" t="s">
        <v>20</v>
      </c>
      <c r="L997" t="s">
        <v>43</v>
      </c>
      <c r="M997" t="s">
        <v>38</v>
      </c>
      <c r="N997">
        <v>4</v>
      </c>
      <c r="X997">
        <v>3</v>
      </c>
      <c r="AB997" t="str">
        <f t="shared" si="15"/>
        <v>Mar</v>
      </c>
    </row>
    <row r="998" spans="1:28" x14ac:dyDescent="0.35">
      <c r="A998" t="s">
        <v>1046</v>
      </c>
      <c r="B998">
        <v>64</v>
      </c>
      <c r="C998" t="s">
        <v>15</v>
      </c>
      <c r="D998" t="s">
        <v>50</v>
      </c>
      <c r="E998" t="s">
        <v>51</v>
      </c>
      <c r="F998" t="s">
        <v>41</v>
      </c>
      <c r="G998" s="1">
        <v>45383</v>
      </c>
      <c r="H998" s="1">
        <v>45398</v>
      </c>
      <c r="I998" s="4">
        <v>159821</v>
      </c>
      <c r="J998" t="s">
        <v>19</v>
      </c>
      <c r="K998" t="s">
        <v>20</v>
      </c>
      <c r="L998" t="s">
        <v>21</v>
      </c>
      <c r="M998" t="s">
        <v>64</v>
      </c>
      <c r="N998">
        <v>5</v>
      </c>
      <c r="X998">
        <v>4</v>
      </c>
      <c r="AB998" t="str">
        <f t="shared" si="15"/>
        <v>Apr</v>
      </c>
    </row>
    <row r="999" spans="1:28" x14ac:dyDescent="0.35">
      <c r="A999" t="s">
        <v>1047</v>
      </c>
      <c r="B999">
        <v>23</v>
      </c>
      <c r="C999" t="s">
        <v>15</v>
      </c>
      <c r="D999" t="s">
        <v>53</v>
      </c>
      <c r="E999" t="s">
        <v>51</v>
      </c>
      <c r="F999" t="s">
        <v>41</v>
      </c>
      <c r="G999" s="1">
        <v>45838</v>
      </c>
      <c r="H999" s="1">
        <v>45843</v>
      </c>
      <c r="I999" s="4">
        <v>233374</v>
      </c>
      <c r="J999" t="s">
        <v>61</v>
      </c>
      <c r="K999" t="s">
        <v>29</v>
      </c>
      <c r="L999" t="s">
        <v>46</v>
      </c>
      <c r="M999" t="s">
        <v>64</v>
      </c>
      <c r="N999">
        <v>3</v>
      </c>
      <c r="X999">
        <v>6</v>
      </c>
      <c r="AB999" t="str">
        <f t="shared" si="15"/>
        <v>Jun</v>
      </c>
    </row>
    <row r="1000" spans="1:28" x14ac:dyDescent="0.35">
      <c r="A1000" t="s">
        <v>1048</v>
      </c>
      <c r="B1000">
        <v>19</v>
      </c>
      <c r="C1000" t="s">
        <v>15</v>
      </c>
      <c r="D1000" t="s">
        <v>58</v>
      </c>
      <c r="E1000" t="s">
        <v>17</v>
      </c>
      <c r="F1000" t="s">
        <v>36</v>
      </c>
      <c r="G1000" s="1">
        <v>45996</v>
      </c>
      <c r="H1000" s="1">
        <v>46006</v>
      </c>
      <c r="I1000" s="4">
        <v>177715</v>
      </c>
      <c r="J1000" t="s">
        <v>61</v>
      </c>
      <c r="K1000" t="s">
        <v>20</v>
      </c>
      <c r="L1000" t="s">
        <v>48</v>
      </c>
      <c r="M1000" t="s">
        <v>64</v>
      </c>
      <c r="N1000">
        <v>2</v>
      </c>
      <c r="X1000">
        <v>12</v>
      </c>
      <c r="AB1000" t="str">
        <f t="shared" si="15"/>
        <v>Dec</v>
      </c>
    </row>
    <row r="1001" spans="1:28" x14ac:dyDescent="0.35">
      <c r="A1001" t="s">
        <v>1049</v>
      </c>
      <c r="B1001">
        <v>80</v>
      </c>
      <c r="C1001" t="s">
        <v>15</v>
      </c>
      <c r="D1001" t="s">
        <v>53</v>
      </c>
      <c r="E1001" t="s">
        <v>17</v>
      </c>
      <c r="F1001" t="s">
        <v>41</v>
      </c>
      <c r="G1001" s="1">
        <v>45767</v>
      </c>
      <c r="H1001" s="1">
        <v>45771</v>
      </c>
      <c r="I1001" s="4">
        <v>93407</v>
      </c>
      <c r="J1001" t="s">
        <v>19</v>
      </c>
      <c r="K1001" t="s">
        <v>29</v>
      </c>
      <c r="L1001" t="s">
        <v>33</v>
      </c>
      <c r="M1001" t="s">
        <v>64</v>
      </c>
      <c r="N1001">
        <v>5</v>
      </c>
      <c r="X1001">
        <v>4</v>
      </c>
      <c r="AB1001" t="str">
        <f t="shared" si="15"/>
        <v>Apr</v>
      </c>
    </row>
  </sheetData>
  <autoFilter ref="AB1:AB1001" xr:uid="{00000000-0001-0000-0000-000000000000}"/>
  <sortState xmlns:xlrd2="http://schemas.microsoft.com/office/spreadsheetml/2017/richdata2" ref="V1:W3">
    <sortCondition ref="V1:V3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E7AE-EAD5-4C82-AA82-C4F6250247B6}">
  <dimension ref="F4:H4"/>
  <sheetViews>
    <sheetView showGridLines="0" showRowColHeaders="0" tabSelected="1" topLeftCell="A2" zoomScaleNormal="100" workbookViewId="0">
      <selection sqref="A1:XFD1048576"/>
    </sheetView>
  </sheetViews>
  <sheetFormatPr defaultRowHeight="14.5" x14ac:dyDescent="0.35"/>
  <cols>
    <col min="1" max="1" width="16" customWidth="1"/>
  </cols>
  <sheetData>
    <row r="4" spans="6:8" ht="30" x14ac:dyDescent="0.6">
      <c r="F4" s="7" t="s">
        <v>1071</v>
      </c>
      <c r="H4" s="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Sheet5</vt:lpstr>
      <vt:lpstr>Sheet6</vt:lpstr>
      <vt:lpstr>Sheet2</vt:lpstr>
      <vt:lpstr>Patient Data</vt:lpstr>
      <vt:lpstr>Sheet1</vt:lpstr>
      <vt:lpstr>data</vt:lpstr>
      <vt:lpstr>disease</vt:lpstr>
      <vt:lpstr>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aravind m</cp:lastModifiedBy>
  <cp:lastPrinted>2026-06-16T18:23:43Z</cp:lastPrinted>
  <dcterms:created xsi:type="dcterms:W3CDTF">2026-06-16T05:43:54Z</dcterms:created>
  <dcterms:modified xsi:type="dcterms:W3CDTF">2026-06-17T05:34:58Z</dcterms:modified>
</cp:coreProperties>
</file>